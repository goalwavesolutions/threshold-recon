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minett/Downloads/GlossGenius_Accounting_Leader_Case/"/>
    </mc:Choice>
  </mc:AlternateContent>
  <xr:revisionPtr revIDLastSave="0" documentId="13_ncr:1_{11B8CB67-11D6-2449-AAC7-53884C7DEFB9}" xr6:coauthVersionLast="47" xr6:coauthVersionMax="47" xr10:uidLastSave="{00000000-0000-0000-0000-000000000000}"/>
  <bookViews>
    <workbookView xWindow="0" yWindow="500" windowWidth="38400" windowHeight="19940" activeTab="3" xr2:uid="{00000000-000D-0000-FFFF-FFFF00000000}"/>
  </bookViews>
  <sheets>
    <sheet name="Recon Summary" sheetId="23" r:id="rId1"/>
    <sheet name="Recon - Stripe vs Internal" sheetId="20" r:id="rId2"/>
    <sheet name="Data - Stripe" sheetId="9" r:id="rId3"/>
    <sheet name="Data - Internal" sheetId="8" r:id="rId4"/>
  </sheets>
  <definedNames>
    <definedName name="_xlnm._FilterDatabase" localSheetId="3" hidden="1">'Data - Internal'!$A$1:$D$117</definedName>
    <definedName name="_xlnm._FilterDatabase" localSheetId="2" hidden="1">'Data - Stripe'!$A$3:$F$17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uFWNVOY3WVlUs9a1TwBmLw0nMT5P4B7d1gCCDI3y9eA="/>
    </ext>
  </extLst>
</workbook>
</file>

<file path=xl/calcChain.xml><?xml version="1.0" encoding="utf-8"?>
<calcChain xmlns="http://schemas.openxmlformats.org/spreadsheetml/2006/main">
  <c r="F13" i="20" l="1"/>
  <c r="S25" i="20"/>
  <c r="S24" i="20"/>
  <c r="D25" i="23" s="1"/>
  <c r="S23" i="20"/>
  <c r="D24" i="23" s="1"/>
  <c r="D26" i="23" s="1"/>
  <c r="E26" i="23" s="1"/>
  <c r="S22" i="20"/>
  <c r="S21" i="20"/>
  <c r="D19" i="23" s="1"/>
  <c r="S20" i="20"/>
  <c r="D11" i="23" s="1"/>
  <c r="S19" i="20"/>
  <c r="S18" i="20"/>
  <c r="S17" i="20"/>
  <c r="S16" i="20"/>
  <c r="S15" i="20"/>
  <c r="S14" i="20"/>
  <c r="S13" i="20"/>
  <c r="S12" i="20"/>
  <c r="S11" i="20"/>
  <c r="S10" i="20"/>
  <c r="S9" i="20"/>
  <c r="S8" i="20"/>
  <c r="D34" i="23" s="1"/>
  <c r="S7" i="20"/>
  <c r="S6" i="20"/>
  <c r="S5" i="20"/>
  <c r="D32" i="23" s="1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Q13" i="20"/>
  <c r="P13" i="20"/>
  <c r="O13" i="20"/>
  <c r="N13" i="20"/>
  <c r="M13" i="20"/>
  <c r="L13" i="20"/>
  <c r="K13" i="20"/>
  <c r="J13" i="20"/>
  <c r="I13" i="20"/>
  <c r="H13" i="20"/>
  <c r="G13" i="20"/>
  <c r="E13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Q9" i="20"/>
  <c r="P9" i="20"/>
  <c r="O9" i="20"/>
  <c r="N9" i="20"/>
  <c r="M9" i="20"/>
  <c r="L9" i="20"/>
  <c r="K9" i="20"/>
  <c r="J9" i="20"/>
  <c r="I9" i="20"/>
  <c r="H9" i="20"/>
  <c r="G9" i="20"/>
  <c r="F9" i="20"/>
  <c r="Q8" i="20"/>
  <c r="P8" i="20"/>
  <c r="O8" i="20"/>
  <c r="N8" i="20"/>
  <c r="M8" i="20"/>
  <c r="L8" i="20"/>
  <c r="K8" i="20"/>
  <c r="J8" i="20"/>
  <c r="I8" i="20"/>
  <c r="H8" i="20"/>
  <c r="G8" i="20"/>
  <c r="F8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33" i="23" l="1"/>
  <c r="D35" i="23" s="1"/>
  <c r="G27" i="20"/>
  <c r="G29" i="20" s="1"/>
  <c r="I27" i="20"/>
  <c r="I29" i="20" s="1"/>
  <c r="Q27" i="20"/>
  <c r="Q29" i="20" s="1"/>
  <c r="R12" i="20"/>
  <c r="D17" i="23" s="1"/>
  <c r="R16" i="20"/>
  <c r="T16" i="20" s="1"/>
  <c r="U16" i="20" s="1"/>
  <c r="V16" i="20" s="1"/>
  <c r="R21" i="20"/>
  <c r="T21" i="20" s="1"/>
  <c r="U21" i="20" s="1"/>
  <c r="R24" i="20"/>
  <c r="T24" i="20" s="1"/>
  <c r="U24" i="20" s="1"/>
  <c r="V24" i="20" s="1"/>
  <c r="R18" i="20"/>
  <c r="T18" i="20" s="1"/>
  <c r="U18" i="20" s="1"/>
  <c r="V18" i="20" s="1"/>
  <c r="R19" i="20"/>
  <c r="M27" i="20"/>
  <c r="M29" i="20" s="1"/>
  <c r="R11" i="20"/>
  <c r="D9" i="23" s="1"/>
  <c r="R17" i="20"/>
  <c r="T17" i="20" s="1"/>
  <c r="U17" i="20" s="1"/>
  <c r="V17" i="20" s="1"/>
  <c r="R20" i="20"/>
  <c r="J27" i="20"/>
  <c r="J29" i="20" s="1"/>
  <c r="R9" i="20"/>
  <c r="R5" i="20"/>
  <c r="N27" i="20"/>
  <c r="N29" i="20" s="1"/>
  <c r="R8" i="20"/>
  <c r="R10" i="20"/>
  <c r="T10" i="20" s="1"/>
  <c r="U10" i="20" s="1"/>
  <c r="V10" i="20" s="1"/>
  <c r="R14" i="20"/>
  <c r="T14" i="20" s="1"/>
  <c r="U14" i="20" s="1"/>
  <c r="V14" i="20" s="1"/>
  <c r="R15" i="20"/>
  <c r="T15" i="20" s="1"/>
  <c r="U15" i="20" s="1"/>
  <c r="V15" i="20" s="1"/>
  <c r="R22" i="20"/>
  <c r="O27" i="20"/>
  <c r="O29" i="20" s="1"/>
  <c r="H27" i="20"/>
  <c r="H29" i="20" s="1"/>
  <c r="P27" i="20"/>
  <c r="P29" i="20" s="1"/>
  <c r="K27" i="20"/>
  <c r="K29" i="20" s="1"/>
  <c r="R6" i="20"/>
  <c r="T6" i="20" s="1"/>
  <c r="U6" i="20" s="1"/>
  <c r="V6" i="20" s="1"/>
  <c r="R7" i="20"/>
  <c r="T7" i="20" s="1"/>
  <c r="U7" i="20" s="1"/>
  <c r="V7" i="20" s="1"/>
  <c r="L27" i="20"/>
  <c r="L29" i="20" s="1"/>
  <c r="R23" i="20"/>
  <c r="R25" i="20"/>
  <c r="D48" i="23" s="1"/>
  <c r="T28" i="20"/>
  <c r="U28" i="20" s="1"/>
  <c r="R13" i="20"/>
  <c r="S27" i="20"/>
  <c r="S29" i="20" s="1"/>
  <c r="F27" i="20"/>
  <c r="F29" i="20" s="1"/>
  <c r="D41" i="23" l="1"/>
  <c r="C32" i="23"/>
  <c r="T23" i="20"/>
  <c r="U23" i="20" s="1"/>
  <c r="V23" i="20" s="1"/>
  <c r="D45" i="23"/>
  <c r="T22" i="20"/>
  <c r="U22" i="20" s="1"/>
  <c r="V22" i="20" s="1"/>
  <c r="D46" i="23"/>
  <c r="D44" i="23"/>
  <c r="D16" i="23"/>
  <c r="D18" i="23" s="1"/>
  <c r="D20" i="23" s="1"/>
  <c r="E20" i="23" s="1"/>
  <c r="T20" i="20"/>
  <c r="U20" i="20" s="1"/>
  <c r="C33" i="23"/>
  <c r="E33" i="23" s="1"/>
  <c r="D8" i="23"/>
  <c r="D10" i="23" s="1"/>
  <c r="D12" i="23" s="1"/>
  <c r="E12" i="23" s="1"/>
  <c r="D43" i="23"/>
  <c r="C34" i="23"/>
  <c r="E34" i="23" s="1"/>
  <c r="T13" i="20"/>
  <c r="U13" i="20" s="1"/>
  <c r="D42" i="23"/>
  <c r="T19" i="20"/>
  <c r="U19" i="20" s="1"/>
  <c r="V19" i="20" s="1"/>
  <c r="D47" i="23"/>
  <c r="T5" i="20"/>
  <c r="U5" i="20" s="1"/>
  <c r="T12" i="20"/>
  <c r="U12" i="20" s="1"/>
  <c r="R27" i="20"/>
  <c r="R29" i="20" s="1"/>
  <c r="T8" i="20"/>
  <c r="U8" i="20" s="1"/>
  <c r="T25" i="20"/>
  <c r="U25" i="20" s="1"/>
  <c r="V25" i="20" s="1"/>
  <c r="T11" i="20"/>
  <c r="U11" i="20" s="1"/>
  <c r="T9" i="20"/>
  <c r="U9" i="20" s="1"/>
  <c r="E32" i="23" l="1"/>
  <c r="C35" i="23"/>
  <c r="D50" i="23"/>
  <c r="T27" i="20"/>
  <c r="T29" i="20" s="1"/>
  <c r="U29" i="20" s="1"/>
  <c r="D51" i="23" l="1"/>
  <c r="E35" i="23"/>
  <c r="U2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Inett</author>
  </authors>
  <commentList>
    <comment ref="V5" authorId="0" shapeId="0" xr:uid="{30045ECC-03D5-0F42-88A5-DFA79D5A9E85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+$576,336 Δ vs Stripe NET. Internal `charge` row is gross-only, missing the -$576,336 charge_fee deduction that Stripe NET (col F) includes. The charge_fee DOES exist in Internal but is mis-classified to ref 2.5 `fee` rc with positive sign (should be negative). When sign is corrected on Data-Internal!D7 and rc reclassified to charge_fee (ref 2.1), this variance and the +$576,119 on ref 2.5 both resolve.</t>
        </r>
      </text>
    </comment>
    <comment ref="V8" authorId="0" shapeId="0" xr:uid="{C925B7B8-9646-8F4C-91FC-256EAD77E5E2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dispute_gross IS in Stripe, just netted into the composite `dispute` rc (ref 5.1). The Stripe `dispute` row D7 = -$603,068 (gross) and E7 = -$54,135 (fee) are reported as a single NET line of -$657,203 on Stripe's side. Internal splits these into ref 1.4 (gross) + ref 2.2 (fee). See netting bridge: 1.4 + 2.2 = 5.1 ties ✓.</t>
        </r>
      </text>
    </comment>
    <comment ref="V9" authorId="0" shapeId="0" xr:uid="{8664D3B0-3553-5149-9295-3D52BA2B7673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dispute_reversal_gross IS in Stripe, just netted into the composite `dispute_reversal` rc (ref 5.2). Stripe reports D8 + E8 as a single NET line. Internal splits into ref 1.5 (gross) + ref 2.3 (fee). See netting bridge: 1.5 + 2.3 = 5.2 ties ✓.</t>
        </r>
      </text>
    </comment>
    <comment ref="V11" authorId="0" shapeId="0" xr:uid="{6B557FA0-C602-E841-A5BB-5D77E733A60A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dispute_fee IS in Stripe, in column E of the `dispute` row (already part of the Stripe NET composite). Internal splits this out; Stripe nets it. See netting bridge: 1.4 + 2.2 = 5.1 ties ✓.</t>
        </r>
      </text>
    </comment>
    <comment ref="V12" authorId="0" shapeId="0" xr:uid="{255CE6A8-9A90-C149-9F24-B07BD96947D2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dispute_reversal_fee IS in Stripe, in column E of the `dispute_reversal` row (already part of the Stripe NET composite). Internal splits this out; Stripe nets it. See netting bridge: 1.5 + 2.3 = 5.2 ties ✓.</t>
        </r>
      </text>
    </comment>
    <comment ref="V13" authorId="0" shapeId="0" xr:uid="{9ECA57B5-787E-084E-BD60-6400D990E042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+$576,119 Δ. Internal `fee` rc total is -$929K but Stripe NET is -$1.51M. The +$576,119 swing comes from billing/fee being recorded as POSITIVE in Internal (D7 = +$576,119) when it should be NEGATIVE. This entry is actually a Stripe charge_fee that's mis-classified to `fee` rc and has its sign inverted. When sign and rc are corrected, ref 2.1 charge_fee will absorb this amount and ref 2.5 fee will tie to Stripe NET.</t>
        </r>
      </text>
    </comment>
    <comment ref="V20" authorId="0" shapeId="0" xr:uid="{FAF7C302-E522-264F-83EA-28CC40AEEEAE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 IS in Internal, just split into separate rc's: ref 1.4 dispute_gross (-$603,068) + ref 2.2 dispute_fee (-$54,135) = -$657,203 = Stripe NET F7. See netting bridge: 1.4 + 2.2 = 5.1 ties ✓.</t>
        </r>
      </text>
    </comment>
    <comment ref="V21" authorId="0" shapeId="0" xr:uid="{F2A0E631-549F-9448-8908-1F7F945ADFD9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dispute_reversal IS in Internal, just split into separate rc's: ref 1.5 dispute_reversal_gross ($176,610) + ref 2.3 dispute_reversal_fee ($450) = $177,060 = Stripe NET F8. See netting bridge: 1.5 + 2.3 = 5.2 ties ✓.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Inett</author>
  </authors>
  <commentList>
    <comment ref="D7" authorId="0" shapeId="0" xr:uid="{6CB1AFBE-1636-E64E-8E79-95332C688C86}">
      <text>
        <r>
          <rPr>
            <b/>
            <sz val="10"/>
            <color rgb="FF000000"/>
            <rFont val="Tahoma"/>
            <family val="2"/>
          </rPr>
          <t>Tom Inett: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SIGN ANOMALY: Recorded positive but represents a Stripe charge_fee, which Stripe reports as negative. Recon - Stripe vs Internal uses absolute value treatment for tie-out. When booking JEs based on this data, FLIP THE SIGN to -$576,119.01 (Dr 5007 / Cr 1005 contra-revenue). Also consider reclassifying rc from 'fee' to 'charge_fee' for cleaner downstream reporting.</t>
        </r>
      </text>
    </comment>
  </commentList>
</comments>
</file>

<file path=xl/sharedStrings.xml><?xml version="1.0" encoding="utf-8"?>
<sst xmlns="http://schemas.openxmlformats.org/spreadsheetml/2006/main" count="605" uniqueCount="277">
  <si>
    <t>Notes</t>
  </si>
  <si>
    <t>TRANSACTION_CATEGORY</t>
  </si>
  <si>
    <t>REPORTING_CATEGORY</t>
  </si>
  <si>
    <t>charge</t>
  </si>
  <si>
    <t>dispute</t>
  </si>
  <si>
    <t>dispute_reversal</t>
  </si>
  <si>
    <t>platform_earning</t>
  </si>
  <si>
    <t>platform_earning_refund</t>
  </si>
  <si>
    <t>refund</t>
  </si>
  <si>
    <t>transfer</t>
  </si>
  <si>
    <t>transfer_reversal</t>
  </si>
  <si>
    <t>client_invoice</t>
  </si>
  <si>
    <t>fee</t>
  </si>
  <si>
    <t>network_cost</t>
  </si>
  <si>
    <t>cx_transfer</t>
  </si>
  <si>
    <t>in_app</t>
  </si>
  <si>
    <t>other</t>
  </si>
  <si>
    <t>connect_collection_transfer</t>
  </si>
  <si>
    <t>refund_failure</t>
  </si>
  <si>
    <t>payroll</t>
  </si>
  <si>
    <t>subscription_cycle_monthly</t>
  </si>
  <si>
    <t>subscription_cycle_yearly</t>
  </si>
  <si>
    <t>total_subscription</t>
  </si>
  <si>
    <t>Type</t>
  </si>
  <si>
    <t>dispute_fee</t>
  </si>
  <si>
    <t>dispute_gross</t>
  </si>
  <si>
    <t>dispute_reversal_fee</t>
  </si>
  <si>
    <t>dispute_reversal_gross</t>
  </si>
  <si>
    <t>subscription_tax</t>
  </si>
  <si>
    <t>monthly</t>
  </si>
  <si>
    <t>yearly</t>
  </si>
  <si>
    <t>other_adjustment</t>
  </si>
  <si>
    <t>payout_minimum_balance_hold</t>
  </si>
  <si>
    <t>payout_minimum_balance_release</t>
  </si>
  <si>
    <t>Stripe Balances</t>
  </si>
  <si>
    <t>Balance Change from Activity</t>
  </si>
  <si>
    <t>reporting_category</t>
  </si>
  <si>
    <t>currency</t>
  </si>
  <si>
    <t>count</t>
  </si>
  <si>
    <t>gross</t>
  </si>
  <si>
    <t>net</t>
  </si>
  <si>
    <t>usd</t>
  </si>
  <si>
    <t>revenue_share</t>
  </si>
  <si>
    <t>total</t>
  </si>
  <si>
    <t>billing</t>
  </si>
  <si>
    <t>connect</t>
  </si>
  <si>
    <t>billing_instant</t>
  </si>
  <si>
    <t>silver</t>
  </si>
  <si>
    <t>diamond</t>
  </si>
  <si>
    <t>lite</t>
  </si>
  <si>
    <t>subscription_silver</t>
  </si>
  <si>
    <t>subscription_diamond</t>
  </si>
  <si>
    <t>subscription_lite_and_cobranded</t>
  </si>
  <si>
    <t>Tie?</t>
  </si>
  <si>
    <t>TOTAL</t>
  </si>
  <si>
    <t>Item</t>
  </si>
  <si>
    <t>Amount</t>
  </si>
  <si>
    <t>Variance</t>
  </si>
  <si>
    <t>Source</t>
  </si>
  <si>
    <t>Component</t>
  </si>
  <si>
    <t>Platform earnings</t>
  </si>
  <si>
    <t>Description</t>
  </si>
  <si>
    <t>Internal Total</t>
  </si>
  <si>
    <t>Exception Type</t>
  </si>
  <si>
    <t>Stripe NET</t>
  </si>
  <si>
    <t>Δ</t>
  </si>
  <si>
    <t>Stripe ↔ Internal Reconciliation — grouped by Type</t>
  </si>
  <si>
    <t>Rows grouped by economic Type. Source flag: B=Both, S=Stripe only, I=Internal only. Internal cells = SUMIFS(Data-Internal, cat, rc). Stripe NET = col F (gross+fee).</t>
  </si>
  <si>
    <t>Src</t>
  </si>
  <si>
    <t>Gross activity</t>
  </si>
  <si>
    <t>B</t>
  </si>
  <si>
    <t>I</t>
  </si>
  <si>
    <t>Gross principal of disputes/chargebacks (Internal split — Stripe nets into 'dispute' rc).</t>
  </si>
  <si>
    <t>Gross principal of dispute reversals (Internal split — Stripe nets into 'dispute_reversal' rc).</t>
  </si>
  <si>
    <t>Fees</t>
  </si>
  <si>
    <t>Stripe fee on disputes (Internal split — Stripe reports in col E of 'dispute' row).</t>
  </si>
  <si>
    <t>Stripe fee on dispute reversals (Internal split — Stripe reports in col E of 'dispute_reversal' row).</t>
  </si>
  <si>
    <t>Cash movements</t>
  </si>
  <si>
    <t>Disputes (composite)</t>
  </si>
  <si>
    <t>S</t>
  </si>
  <si>
    <t>Adjustments</t>
  </si>
  <si>
    <t>Reserve mechanics</t>
  </si>
  <si>
    <t>Tax</t>
  </si>
  <si>
    <t>Subscription sales tax collected (Internal-only category, no Stripe rc counterpart).</t>
  </si>
  <si>
    <t>Internal Cat Total (validation)</t>
  </si>
  <si>
    <t>Δ (row 29 − row 30)  → 0 confirms recon captures all source</t>
  </si>
  <si>
    <t>Ref</t>
  </si>
  <si>
    <t>Comments / nets off with</t>
  </si>
  <si>
    <t>Charge gross. Internal $954.1M = Stripe gross D4 ($954.1M). Stripe NET (col F) = gross + fee, so the $576K Δ vs NET nets off with ref 2.1 charge_fee.</t>
  </si>
  <si>
    <t>Internal-only split. Nets off with ref 5.1 dispute (Stripe composite). 1.4 + 2.2 = 5.1 NET (gross + fee).</t>
  </si>
  <si>
    <t>Internal-only split. Nets off with ref 5.2 dispute_reversal (Stripe composite). 1.5 + 2.3 = 5.2 NET (gross + fee).</t>
  </si>
  <si>
    <t>Internal-only fee split. Component of dispute composite: nets off with ref 1.4 dispute_gross + ref 5.1 dispute (Stripe). 1.4 + 2.2 = 5.1 NET.</t>
  </si>
  <si>
    <t>Internal-only fee split. Component of dispute_reversal composite: nets off with ref 1.5 dispute_reversal_gross + ref 5.2 dispute_reversal (Stripe). 1.5 + 2.3 = 5.2 NET.</t>
  </si>
  <si>
    <t>Generic Stripe fee. Internal $-929K vs Stripe NET $-1.51M, Δ +$576,119 = SIGN ANOMALY on billing/fee (see Data-Internal!D7 note). When sign is corrected, Internal fee should equal -$1.51M and tie to Stripe NET. Until corrected, the +$576K Δ is a known reconciling item. Also bundles fee_fee (-$23,884 from ref 2.4).</t>
  </si>
  <si>
    <t>Stripe-only composite. Nets off with refs 1.4 dispute_gross + 2.2 dispute_fee (Internal splits). 5.1 = 1.4 + 2.2.</t>
  </si>
  <si>
    <t>Stripe-only composite. Nets off with refs 1.5 dispute_reversal_gross + 2.3 dispute_reversal_fee (Internal splits). 5.2 = 1.5 + 2.3.</t>
  </si>
  <si>
    <t>Stripe-only line. No Internal counterpart. True reconciling item — either add to Internal or accept as small unexplained variance.</t>
  </si>
  <si>
    <t>Stripe reserve mechanic (balance-sheet only). Nets off with ref 7.2 release. 7.1 + 7.2 = 0.</t>
  </si>
  <si>
    <t>Stripe reserve release. Nets off with ref 7.1 hold. 7.1 + 7.2 = 0.</t>
  </si>
  <si>
    <t>Internal-only subscription tax. No Stripe rc counterpart. True reconciling item — booked separately to 2300 sales tax payable; not reflected in Stripe activity since Stripe doesn't categorize tax separately.</t>
  </si>
  <si>
    <t>Dispute composite (5.1 = 1.4 + 2.2)</t>
  </si>
  <si>
    <t>rc</t>
  </si>
  <si>
    <t>Internal split (gross)</t>
  </si>
  <si>
    <t>Internal split (fee)</t>
  </si>
  <si>
    <t>Sum</t>
  </si>
  <si>
    <t>1.4 + 2.2 (Internal)</t>
  </si>
  <si>
    <t>Stripe NET (composite)</t>
  </si>
  <si>
    <t>Sum − Stripe NET</t>
  </si>
  <si>
    <t>Dispute reversal composite (5.2 = 1.5 + 2.3)</t>
  </si>
  <si>
    <t>1.5 + 2.3 (Internal)</t>
  </si>
  <si>
    <t>Reserve mechanic pair (7.1 + 7.2 = 0)</t>
  </si>
  <si>
    <t>payout_min_balance_hold</t>
  </si>
  <si>
    <t>Stripe (held)</t>
  </si>
  <si>
    <t>payout_min_balance_release</t>
  </si>
  <si>
    <t>Stripe (released)</t>
  </si>
  <si>
    <t>7.1 + 7.2</t>
  </si>
  <si>
    <t>Stripe NET Total</t>
  </si>
  <si>
    <t>Net Variance</t>
  </si>
  <si>
    <t>Both Stripe &amp; Internal (refs 1.1, 1.2, 1.3, 1.6, 2.5, 3.1, 3.2, 3.3, 4.1, 4.2, 4.3)</t>
  </si>
  <si>
    <t>Stripe only — composites + true Stripe-only (refs 5.1, 5.2, 6.1, 7.1, 7.2)</t>
  </si>
  <si>
    <t>Dispute composite netting</t>
  </si>
  <si>
    <t>Dispute reversal composite netting</t>
  </si>
  <si>
    <t>Reserve mechanic netting</t>
  </si>
  <si>
    <t>SIGN ANOMALY (mirror of ref 2.5)</t>
  </si>
  <si>
    <t>SIGN ANOMALY (mirror of ref 1.1)</t>
  </si>
  <si>
    <t>Bundled in Stripe ref 5.1 (composite)</t>
  </si>
  <si>
    <t>Bundled in Stripe ref 5.2 (composite)</t>
  </si>
  <si>
    <t>Split in Internal across refs 1.4 + 2.2</t>
  </si>
  <si>
    <t>Split in Internal across refs 1.5 + 2.3</t>
  </si>
  <si>
    <t>Internal only — splits + true Internal-only (refs 1.4, 1.5, 2.2, 2.3, 8.1)</t>
  </si>
  <si>
    <t>Stripe-only revenue_share (rebate/incentive credit) of $440,487. Internal does NOT include this in its raw extract — it's missing from the source data. Recon flags as a true reconciling item: either add a manual entry to Internal (other / revenue_share) or accept as a known monthly Stripe-only line. Until added, this represents Stripe income not yet captured in Internal.</t>
  </si>
  <si>
    <t>NETTING VIEW — Internal − Stripe NET (signed). SUM gives true residual.</t>
  </si>
  <si>
    <t>Refs</t>
  </si>
  <si>
    <t>Sign</t>
  </si>
  <si>
    <t>Internal − Stripe</t>
  </si>
  <si>
    <t>+</t>
  </si>
  <si>
    <t>Includes the +$576,336 charge-side mirror of the fee sign anomaly. Will tie to 0 once sign on Data-Internal!D7 is corrected.</t>
  </si>
  <si>
    <t>Sign anomaly on fee (ref 2.5)</t>
  </si>
  <si>
    <t>+$576,119 — billing/fee recorded as positive when it should be negative.</t>
  </si>
  <si>
    <t>1.4 + 2.2 vs 5.1</t>
  </si>
  <si>
    <t>Should be 0 — Internal splits sum to Stripe composite NET.</t>
  </si>
  <si>
    <t>1.5 + 2.3 vs 5.2</t>
  </si>
  <si>
    <t>Reserves net to 0 across the pair. Internal=0, Stripe=0, so Δ=0.</t>
  </si>
  <si>
    <t>Stripe-only adjustment (ref 6.1)</t>
  </si>
  <si>
    <t>Internal $0 − Stripe $25,920 = −$25,920. True Stripe-only line.</t>
  </si>
  <si>
    <t>Stripe-only revenue_share (ref 4.3)</t>
  </si>
  <si>
    <t>Internal $0 − Stripe $440,487 = −$440,487. Missing from Internal raw extract.</t>
  </si>
  <si>
    <t>Internal-only tax (ref 8.1)</t>
  </si>
  <si>
    <t>Net residual (SUM of signed amounts above)</t>
  </si>
  <si>
    <t>=</t>
  </si>
  <si>
    <t>1.1, 1.2, 1.3, 1.6, 3.1, 3.2, 3.3, 4.1, 4.2</t>
  </si>
  <si>
    <t>Reconciliation Summary</t>
  </si>
  <si>
    <t>High-level summary, netting bridges, and netting view. All formulas reference 'Recon - Stripe vs Internal (B)'.</t>
  </si>
  <si>
    <t>HIGH-LEVEL SUMMARY — Total by source flag</t>
  </si>
  <si>
    <t>Should tie except SIGN ANOMALY on ref 2.5 fee + revenue_share now Stripe-only (raw data)</t>
  </si>
  <si>
    <t>Composites 5.1+5.2 net off with Internal splits. Reserves 7.1+7.2=0. True Stripe-only: 6.1 other_adjustment $25,920.</t>
  </si>
  <si>
    <t>Splits 1.4+2.2 net to 5.1 (Stripe). Splits 1.5+2.3 net to 5.2. True Internal-only: 8.1 subscription_tax $658,523.</t>
  </si>
  <si>
    <t>Tied B-flag rows (excl. 2.5 fee, excl. 4.3 revenue_share)</t>
  </si>
  <si>
    <t>Internal $658,523 − Stripe $0 = +$658,523. True Internal-only — booked separately to 2300.</t>
  </si>
  <si>
    <t>Cross-check: grand total Internal − Stripe (from summary above)</t>
  </si>
  <si>
    <t>Should equal D50 — proves netting view captures the full residual.</t>
  </si>
  <si>
    <t>NETTING BRIDGES — refs that pair off</t>
  </si>
  <si>
    <t>billingcharge</t>
  </si>
  <si>
    <t>billingdispute_fee</t>
  </si>
  <si>
    <t>billingdispute_gross</t>
  </si>
  <si>
    <t>billingdispute_reversal_fee</t>
  </si>
  <si>
    <t>billingdispute_reversal_gross</t>
  </si>
  <si>
    <t>billingfee</t>
  </si>
  <si>
    <t>billingplatform_earning</t>
  </si>
  <si>
    <t>billingplatform_earning_refund</t>
  </si>
  <si>
    <t>billingrefund</t>
  </si>
  <si>
    <t>billingtransfer</t>
  </si>
  <si>
    <t>billingtransfer_reversal</t>
  </si>
  <si>
    <t>client_invoicecharge</t>
  </si>
  <si>
    <t>client_invoicedispute_fee</t>
  </si>
  <si>
    <t>client_invoicedispute_gross</t>
  </si>
  <si>
    <t>client_invoicedispute_reversal_fee</t>
  </si>
  <si>
    <t>client_invoicedispute_reversal_gross</t>
  </si>
  <si>
    <t>client_invoicefee</t>
  </si>
  <si>
    <t>client_invoicenetwork_cost</t>
  </si>
  <si>
    <t>client_invoiceplatform_earning</t>
  </si>
  <si>
    <t>client_invoiceplatform_earning_refund</t>
  </si>
  <si>
    <t>client_invoicerefund</t>
  </si>
  <si>
    <t>client_invoicetransfer</t>
  </si>
  <si>
    <t>client_invoicetransfer_reversal</t>
  </si>
  <si>
    <t>cx_transfertransfer</t>
  </si>
  <si>
    <t>cx_transfertransfer_reversal</t>
  </si>
  <si>
    <t>in_appcharge</t>
  </si>
  <si>
    <t>in_appdispute_fee</t>
  </si>
  <si>
    <t>in_appdispute_gross</t>
  </si>
  <si>
    <t>in_appdispute_reversal_fee</t>
  </si>
  <si>
    <t>in_appdispute_reversal_gross</t>
  </si>
  <si>
    <t>in_appfee</t>
  </si>
  <si>
    <t>in_appnetwork_cost</t>
  </si>
  <si>
    <t>in_apprefund</t>
  </si>
  <si>
    <t>billing_instantplatform_earning</t>
  </si>
  <si>
    <t>billing_instantplatform_earning_refund</t>
  </si>
  <si>
    <t>othercharge</t>
  </si>
  <si>
    <t>otherconnect_collection_transfer</t>
  </si>
  <si>
    <t>otherfee</t>
  </si>
  <si>
    <t>othernetwork_cost</t>
  </si>
  <si>
    <t>otherplatform_earning</t>
  </si>
  <si>
    <t>otherrefund</t>
  </si>
  <si>
    <t>otherrefund_failure</t>
  </si>
  <si>
    <t>othertransfer</t>
  </si>
  <si>
    <t>payrollcharge</t>
  </si>
  <si>
    <t>payrolldispute_fee</t>
  </si>
  <si>
    <t>payrolldispute_gross</t>
  </si>
  <si>
    <t>payrollfee</t>
  </si>
  <si>
    <t>payrollnetwork_cost</t>
  </si>
  <si>
    <t>payrollrefund</t>
  </si>
  <si>
    <t>connectcharge</t>
  </si>
  <si>
    <t>connectdispute_fee</t>
  </si>
  <si>
    <t>connectdispute_gross</t>
  </si>
  <si>
    <t>connectdispute_reversal_fee</t>
  </si>
  <si>
    <t>connectdispute_reversal_gross</t>
  </si>
  <si>
    <t>connectfee</t>
  </si>
  <si>
    <t>connectnetwork_cost</t>
  </si>
  <si>
    <t>connectplatform_earning</t>
  </si>
  <si>
    <t>connectplatform_earning_refund</t>
  </si>
  <si>
    <t>connectrefund</t>
  </si>
  <si>
    <t>connecttransfer</t>
  </si>
  <si>
    <t>connecttransfer_reversal</t>
  </si>
  <si>
    <t>subscription_silvercharge</t>
  </si>
  <si>
    <t>subscription_silverdispute_fee</t>
  </si>
  <si>
    <t>subscription_silverdispute_gross</t>
  </si>
  <si>
    <t>subscription_silverdispute_reversal_fee</t>
  </si>
  <si>
    <t>subscription_silverdispute_reversal_gross</t>
  </si>
  <si>
    <t>subscription_silverfee</t>
  </si>
  <si>
    <t>subscription_silvernetwork_cost</t>
  </si>
  <si>
    <t>subscription_silverrefund</t>
  </si>
  <si>
    <t>subscription_diamondcharge</t>
  </si>
  <si>
    <t>subscription_diamonddispute_fee</t>
  </si>
  <si>
    <t>subscription_diamonddispute_gross</t>
  </si>
  <si>
    <t>subscription_diamonddispute_reversal_fee</t>
  </si>
  <si>
    <t>subscription_diamonddispute_reversal_gross</t>
  </si>
  <si>
    <t>subscription_diamondfee</t>
  </si>
  <si>
    <t>subscription_diamondnetwork_cost</t>
  </si>
  <si>
    <t>subscription_diamondrefund</t>
  </si>
  <si>
    <t>subscription_lite_and_cobrandedcharge</t>
  </si>
  <si>
    <t>subscription_lite_and_cobrandeddispute_fee</t>
  </si>
  <si>
    <t>subscription_lite_and_cobrandeddispute_gross</t>
  </si>
  <si>
    <t>subscription_lite_and_cobrandeddispute_reversal_fee</t>
  </si>
  <si>
    <t>subscription_lite_and_cobrandeddispute_reversal_gross</t>
  </si>
  <si>
    <t>subscription_lite_and_cobrandedfee</t>
  </si>
  <si>
    <t>subscription_lite_and_cobrandednetwork_cost</t>
  </si>
  <si>
    <t>subscription_lite_and_cobrandedrefund</t>
  </si>
  <si>
    <t>subscription_taxsilver</t>
  </si>
  <si>
    <t>subscription_taxmonthly</t>
  </si>
  <si>
    <t>subscription_taxdiamond</t>
  </si>
  <si>
    <t>subscription_taxlite</t>
  </si>
  <si>
    <t>subscription_taxyearly</t>
  </si>
  <si>
    <t xml:space="preserve">                             -  </t>
  </si>
  <si>
    <t>total_subscriptioncharge</t>
  </si>
  <si>
    <t>total_subscriptiondispute_fee</t>
  </si>
  <si>
    <t>total_subscriptiondispute_gross</t>
  </si>
  <si>
    <t>total_subscriptiondispute_reversal_fee</t>
  </si>
  <si>
    <t>total_subscriptiondispute_reversal_gross</t>
  </si>
  <si>
    <t>total_subscriptionfee</t>
  </si>
  <si>
    <t>total_subscriptionnetwork_cost</t>
  </si>
  <si>
    <t>total_subscriptionrefund</t>
  </si>
  <si>
    <t>subscription_cycle_monthlycharge</t>
  </si>
  <si>
    <t>subscription_cycle_monthlydispute_fee</t>
  </si>
  <si>
    <t>subscription_cycle_monthlydispute_gross</t>
  </si>
  <si>
    <t>subscription_cycle_monthlydispute_reversal_fee</t>
  </si>
  <si>
    <t>subscription_cycle_monthlydispute_reversal_gross</t>
  </si>
  <si>
    <t>subscription_cycle_monthlyfee</t>
  </si>
  <si>
    <t>subscription_cycle_monthlynetwork_cost</t>
  </si>
  <si>
    <t>subscription_cycle_monthlyrefund</t>
  </si>
  <si>
    <t>subscription_cycle_yearlycharge</t>
  </si>
  <si>
    <t>subscription_cycle_yearlydispute_fee</t>
  </si>
  <si>
    <t>subscription_cycle_yearlydispute_gross</t>
  </si>
  <si>
    <t>subscription_cycle_yearlydispute_reversal_fee</t>
  </si>
  <si>
    <t>subscription_cycle_yearlydispute_reversal_gross</t>
  </si>
  <si>
    <t>subscription_cycle_yearlyfee</t>
  </si>
  <si>
    <t>subscription_cycle_yearlynetwork_cost</t>
  </si>
  <si>
    <t>subscription_cycle_yearlyrefund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</si>
</sst>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.00"/>
    <numFmt numFmtId="166" formatCode="\$#,##0.00"/>
    <numFmt numFmtId="167" formatCode="_(* #,##0_);_(* \(#,##0\);_(* &quot;-&quot;??_);_(@_)"/>
  </numFmts>
  <fonts count="17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i/>
      <sz val="10"/>
      <color rgb="FF555555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3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9E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1"/>
  </cellStyleXfs>
  <cellXfs count="91">
    <xf numFmtId="0" fontId="0" fillId="0" borderId="0" xfId="0"/>
    <xf numFmtId="43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3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0" xfId="0" applyFont="1" applyFill="1"/>
    <xf numFmtId="44" fontId="0" fillId="0" borderId="0" xfId="0" applyNumberFormat="1"/>
    <xf numFmtId="0" fontId="10" fillId="0" borderId="0" xfId="0" applyFont="1"/>
    <xf numFmtId="44" fontId="9" fillId="2" borderId="0" xfId="0" applyNumberFormat="1" applyFont="1" applyFill="1"/>
    <xf numFmtId="44" fontId="9" fillId="0" borderId="0" xfId="0" applyNumberFormat="1" applyFont="1"/>
    <xf numFmtId="0" fontId="9" fillId="0" borderId="0" xfId="0" applyFont="1" applyAlignment="1">
      <alignment horizontal="center"/>
    </xf>
    <xf numFmtId="0" fontId="9" fillId="4" borderId="0" xfId="0" applyFont="1" applyFill="1"/>
    <xf numFmtId="0" fontId="9" fillId="5" borderId="0" xfId="0" applyFont="1" applyFill="1" applyAlignment="1">
      <alignment horizontal="center"/>
    </xf>
    <xf numFmtId="0" fontId="9" fillId="5" borderId="0" xfId="0" applyFont="1" applyFill="1"/>
    <xf numFmtId="44" fontId="9" fillId="5" borderId="0" xfId="0" applyNumberFormat="1" applyFont="1" applyFill="1"/>
    <xf numFmtId="44" fontId="0" fillId="5" borderId="0" xfId="0" applyNumberFormat="1" applyFill="1"/>
    <xf numFmtId="0" fontId="0" fillId="5" borderId="0" xfId="0" applyFill="1"/>
    <xf numFmtId="44" fontId="9" fillId="4" borderId="0" xfId="0" applyNumberFormat="1" applyFont="1" applyFill="1"/>
    <xf numFmtId="0" fontId="9" fillId="4" borderId="0" xfId="0" applyFont="1" applyFill="1" applyAlignment="1">
      <alignment horizontal="center"/>
    </xf>
    <xf numFmtId="0" fontId="6" fillId="0" borderId="0" xfId="0" applyFont="1"/>
    <xf numFmtId="0" fontId="10" fillId="5" borderId="0" xfId="0" applyFont="1" applyFill="1"/>
    <xf numFmtId="44" fontId="10" fillId="5" borderId="0" xfId="0" applyNumberFormat="1" applyFont="1" applyFill="1" applyAlignment="1">
      <alignment horizontal="center"/>
    </xf>
    <xf numFmtId="0" fontId="0" fillId="6" borderId="0" xfId="0" applyFill="1"/>
    <xf numFmtId="0" fontId="9" fillId="6" borderId="0" xfId="0" applyFont="1" applyFill="1" applyAlignment="1">
      <alignment horizontal="center"/>
    </xf>
    <xf numFmtId="0" fontId="8" fillId="6" borderId="0" xfId="0" applyFont="1" applyFill="1"/>
    <xf numFmtId="0" fontId="0" fillId="6" borderId="0" xfId="0" applyFill="1" applyAlignment="1">
      <alignment horizontal="center"/>
    </xf>
    <xf numFmtId="0" fontId="0" fillId="7" borderId="0" xfId="0" applyFill="1"/>
    <xf numFmtId="0" fontId="9" fillId="7" borderId="0" xfId="0" applyFont="1" applyFill="1" applyAlignment="1">
      <alignment horizontal="center"/>
    </xf>
    <xf numFmtId="0" fontId="8" fillId="7" borderId="0" xfId="0" applyFont="1" applyFill="1"/>
    <xf numFmtId="0" fontId="0" fillId="7" borderId="0" xfId="0" applyFill="1" applyAlignment="1">
      <alignment horizontal="center"/>
    </xf>
    <xf numFmtId="0" fontId="0" fillId="8" borderId="0" xfId="0" applyFill="1"/>
    <xf numFmtId="0" fontId="9" fillId="8" borderId="0" xfId="0" applyFont="1" applyFill="1" applyAlignment="1">
      <alignment horizontal="center"/>
    </xf>
    <xf numFmtId="0" fontId="8" fillId="8" borderId="0" xfId="0" applyFont="1" applyFill="1"/>
    <xf numFmtId="0" fontId="0" fillId="8" borderId="0" xfId="0" applyFill="1" applyAlignment="1">
      <alignment horizontal="center"/>
    </xf>
    <xf numFmtId="0" fontId="0" fillId="9" borderId="0" xfId="0" applyFill="1"/>
    <xf numFmtId="0" fontId="9" fillId="9" borderId="0" xfId="0" applyFont="1" applyFill="1" applyAlignment="1">
      <alignment horizontal="center"/>
    </xf>
    <xf numFmtId="0" fontId="8" fillId="9" borderId="0" xfId="0" applyFont="1" applyFill="1"/>
    <xf numFmtId="0" fontId="0" fillId="9" borderId="0" xfId="0" applyFill="1" applyAlignment="1">
      <alignment horizontal="center"/>
    </xf>
    <xf numFmtId="0" fontId="0" fillId="10" borderId="0" xfId="0" applyFill="1"/>
    <xf numFmtId="0" fontId="9" fillId="10" borderId="0" xfId="0" applyFont="1" applyFill="1" applyAlignment="1">
      <alignment horizontal="center"/>
    </xf>
    <xf numFmtId="0" fontId="8" fillId="10" borderId="0" xfId="0" applyFont="1" applyFill="1"/>
    <xf numFmtId="0" fontId="0" fillId="10" borderId="0" xfId="0" applyFill="1" applyAlignment="1">
      <alignment horizontal="center"/>
    </xf>
    <xf numFmtId="0" fontId="0" fillId="11" borderId="0" xfId="0" applyFill="1"/>
    <xf numFmtId="0" fontId="9" fillId="11" borderId="0" xfId="0" applyFont="1" applyFill="1" applyAlignment="1">
      <alignment horizontal="center"/>
    </xf>
    <xf numFmtId="0" fontId="8" fillId="11" borderId="0" xfId="0" applyFont="1" applyFill="1"/>
    <xf numFmtId="0" fontId="0" fillId="11" borderId="0" xfId="0" applyFill="1" applyAlignment="1">
      <alignment horizontal="center"/>
    </xf>
    <xf numFmtId="0" fontId="0" fillId="12" borderId="0" xfId="0" applyFill="1"/>
    <xf numFmtId="0" fontId="9" fillId="12" borderId="0" xfId="0" applyFont="1" applyFill="1" applyAlignment="1">
      <alignment horizontal="center"/>
    </xf>
    <xf numFmtId="0" fontId="8" fillId="12" borderId="0" xfId="0" applyFont="1" applyFill="1"/>
    <xf numFmtId="0" fontId="0" fillId="12" borderId="0" xfId="0" applyFill="1" applyAlignment="1">
      <alignment horizontal="center"/>
    </xf>
    <xf numFmtId="0" fontId="0" fillId="13" borderId="0" xfId="0" applyFill="1"/>
    <xf numFmtId="0" fontId="9" fillId="13" borderId="0" xfId="0" applyFont="1" applyFill="1" applyAlignment="1">
      <alignment horizontal="center"/>
    </xf>
    <xf numFmtId="0" fontId="8" fillId="13" borderId="0" xfId="0" applyFont="1" applyFill="1"/>
    <xf numFmtId="0" fontId="0" fillId="13" borderId="0" xfId="0" applyFill="1" applyAlignment="1">
      <alignment horizontal="center"/>
    </xf>
    <xf numFmtId="0" fontId="13" fillId="4" borderId="0" xfId="0" applyFont="1" applyFill="1"/>
    <xf numFmtId="0" fontId="9" fillId="4" borderId="0" xfId="0" applyFont="1" applyFill="1" applyAlignment="1">
      <alignment wrapText="1"/>
    </xf>
    <xf numFmtId="0" fontId="9" fillId="3" borderId="0" xfId="0" applyFont="1" applyFill="1" applyAlignment="1">
      <alignment horizontal="right" wrapText="1"/>
    </xf>
    <xf numFmtId="0" fontId="9" fillId="5" borderId="0" xfId="0" applyFont="1" applyFill="1" applyAlignment="1">
      <alignment horizontal="right" wrapText="1"/>
    </xf>
    <xf numFmtId="0" fontId="9" fillId="5" borderId="0" xfId="0" applyFont="1" applyFill="1" applyAlignment="1">
      <alignment horizontal="center" wrapText="1"/>
    </xf>
    <xf numFmtId="0" fontId="9" fillId="5" borderId="0" xfId="0" applyFont="1" applyFill="1" applyAlignment="1">
      <alignment wrapText="1"/>
    </xf>
    <xf numFmtId="0" fontId="0" fillId="0" borderId="0" xfId="0" applyAlignment="1">
      <alignment wrapText="1"/>
    </xf>
    <xf numFmtId="167" fontId="0" fillId="6" borderId="0" xfId="1" applyNumberFormat="1" applyFont="1" applyFill="1"/>
    <xf numFmtId="167" fontId="0" fillId="7" borderId="0" xfId="1" applyNumberFormat="1" applyFont="1" applyFill="1"/>
    <xf numFmtId="167" fontId="0" fillId="8" borderId="0" xfId="1" applyNumberFormat="1" applyFont="1" applyFill="1"/>
    <xf numFmtId="167" fontId="0" fillId="9" borderId="0" xfId="1" applyNumberFormat="1" applyFont="1" applyFill="1"/>
    <xf numFmtId="167" fontId="0" fillId="10" borderId="0" xfId="1" applyNumberFormat="1" applyFont="1" applyFill="1"/>
    <xf numFmtId="167" fontId="0" fillId="11" borderId="0" xfId="1" applyNumberFormat="1" applyFont="1" applyFill="1"/>
    <xf numFmtId="167" fontId="0" fillId="12" borderId="0" xfId="1" applyNumberFormat="1" applyFont="1" applyFill="1"/>
    <xf numFmtId="167" fontId="0" fillId="13" borderId="0" xfId="1" applyNumberFormat="1" applyFont="1" applyFill="1"/>
    <xf numFmtId="167" fontId="0" fillId="0" borderId="0" xfId="1" applyNumberFormat="1" applyFont="1"/>
    <xf numFmtId="167" fontId="9" fillId="4" borderId="0" xfId="1" applyNumberFormat="1" applyFont="1" applyFill="1"/>
    <xf numFmtId="167" fontId="10" fillId="5" borderId="0" xfId="1" applyNumberFormat="1" applyFont="1" applyFill="1"/>
    <xf numFmtId="167" fontId="2" fillId="0" borderId="0" xfId="0" applyNumberFormat="1" applyFont="1" applyAlignment="1">
      <alignment horizontal="right"/>
    </xf>
    <xf numFmtId="43" fontId="2" fillId="0" borderId="0" xfId="0" applyNumberFormat="1" applyFont="1" applyAlignment="1">
      <alignment horizontal="right"/>
    </xf>
    <xf numFmtId="44" fontId="10" fillId="0" borderId="0" xfId="0" applyNumberFormat="1" applyFont="1"/>
    <xf numFmtId="0" fontId="16" fillId="0" borderId="0" xfId="0" applyFont="1"/>
    <xf numFmtId="0" fontId="15" fillId="0" borderId="1" xfId="0" applyFont="1" applyBorder="1"/>
    <xf numFmtId="14" fontId="15" fillId="0" borderId="1" xfId="0" applyNumberFormat="1" applyFont="1" applyBorder="1"/>
    <xf numFmtId="0" fontId="14" fillId="0" borderId="1" xfId="0" applyFont="1" applyBorder="1"/>
    <xf numFmtId="165" fontId="6" fillId="0" borderId="1" xfId="0" applyNumberFormat="1" applyFont="1" applyBorder="1" applyAlignment="1">
      <alignment horizontal="right"/>
    </xf>
    <xf numFmtId="165" fontId="14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 applyAlignment="1">
      <alignment horizontal="right"/>
    </xf>
    <xf numFmtId="166" fontId="14" fillId="0" borderId="1" xfId="0" applyNumberFormat="1" applyFont="1" applyBorder="1"/>
    <xf numFmtId="166" fontId="6" fillId="0" borderId="1" xfId="0" applyNumberFormat="1" applyFont="1" applyBorder="1"/>
    <xf numFmtId="43" fontId="14" fillId="0" borderId="1" xfId="0" applyNumberFormat="1" applyFont="1" applyBorder="1"/>
  </cellXfs>
  <cellStyles count="3">
    <cellStyle name="Comma" xfId="1" builtinId="3"/>
    <cellStyle name="Normal" xfId="0" builtinId="0"/>
    <cellStyle name="Normal 2" xfId="2" xr:uid="{A92FAEEC-7CBC-E04B-A060-06972EA04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1D906C-B14C-5B4D-8C60-9B5CEC06FD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15ac239-a676-4b7c-9fe3-f4e18d27711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096C-5F4C-E647-8CFB-0BE1179F9162}">
  <dimension ref="A1:F51"/>
  <sheetViews>
    <sheetView workbookViewId="0">
      <selection activeCell="D43" sqref="D43"/>
    </sheetView>
  </sheetViews>
  <sheetFormatPr baseColWidth="10" defaultRowHeight="13" x14ac:dyDescent="0.15"/>
  <cols>
    <col min="1" max="1" width="51.5" customWidth="1"/>
    <col min="2" max="2" width="40" customWidth="1"/>
    <col min="3" max="3" width="19" bestFit="1" customWidth="1"/>
    <col min="4" max="4" width="23.33203125" customWidth="1"/>
    <col min="5" max="5" width="15.1640625" customWidth="1"/>
    <col min="6" max="6" width="66.6640625" customWidth="1"/>
  </cols>
  <sheetData>
    <row r="1" spans="1:5" ht="20" x14ac:dyDescent="0.2">
      <c r="A1" s="80" t="s">
        <v>151</v>
      </c>
    </row>
    <row r="2" spans="1:5" x14ac:dyDescent="0.15">
      <c r="A2" s="8" t="s">
        <v>152</v>
      </c>
    </row>
    <row r="4" spans="1:5" ht="17" x14ac:dyDescent="0.2">
      <c r="A4" s="59" t="s">
        <v>161</v>
      </c>
    </row>
    <row r="6" spans="1:5" x14ac:dyDescent="0.15">
      <c r="A6" s="9" t="s">
        <v>100</v>
      </c>
    </row>
    <row r="7" spans="1:5" x14ac:dyDescent="0.15">
      <c r="A7" s="10" t="s">
        <v>86</v>
      </c>
      <c r="B7" s="10" t="s">
        <v>101</v>
      </c>
      <c r="C7" s="10" t="s">
        <v>59</v>
      </c>
      <c r="D7" s="10" t="s">
        <v>56</v>
      </c>
    </row>
    <row r="8" spans="1:5" x14ac:dyDescent="0.15">
      <c r="A8">
        <v>1.4</v>
      </c>
      <c r="B8" t="s">
        <v>25</v>
      </c>
      <c r="C8" t="s">
        <v>102</v>
      </c>
      <c r="D8" s="11">
        <f>'Recon - Stripe vs Internal'!R8</f>
        <v>-603068.1</v>
      </c>
    </row>
    <row r="9" spans="1:5" x14ac:dyDescent="0.15">
      <c r="A9">
        <v>2.2000000000000002</v>
      </c>
      <c r="B9" t="s">
        <v>24</v>
      </c>
      <c r="C9" t="s">
        <v>103</v>
      </c>
      <c r="D9" s="11">
        <f>'Recon - Stripe vs Internal'!R11</f>
        <v>-54135</v>
      </c>
    </row>
    <row r="10" spans="1:5" x14ac:dyDescent="0.15">
      <c r="A10" s="9" t="s">
        <v>104</v>
      </c>
      <c r="B10" s="9"/>
      <c r="C10" s="9" t="s">
        <v>105</v>
      </c>
      <c r="D10" s="14">
        <f>D8+D9</f>
        <v>-657203.1</v>
      </c>
    </row>
    <row r="11" spans="1:5" x14ac:dyDescent="0.15">
      <c r="A11">
        <v>5.0999999999999996</v>
      </c>
      <c r="B11" t="s">
        <v>4</v>
      </c>
      <c r="C11" t="s">
        <v>106</v>
      </c>
      <c r="D11" s="11">
        <f>'Recon - Stripe vs Internal'!S20</f>
        <v>-657203.10000000009</v>
      </c>
    </row>
    <row r="12" spans="1:5" x14ac:dyDescent="0.15">
      <c r="A12" s="21" t="s">
        <v>65</v>
      </c>
      <c r="B12" s="21"/>
      <c r="C12" s="21" t="s">
        <v>107</v>
      </c>
      <c r="D12" s="20">
        <f>D10-D11</f>
        <v>0</v>
      </c>
      <c r="E12" t="str">
        <f>IF(ABS(D12)&lt;1,"✓ ties","✗")</f>
        <v>✓ ties</v>
      </c>
    </row>
    <row r="13" spans="1:5" x14ac:dyDescent="0.15">
      <c r="D13" s="11"/>
    </row>
    <row r="14" spans="1:5" x14ac:dyDescent="0.15">
      <c r="A14" s="9" t="s">
        <v>108</v>
      </c>
      <c r="D14" s="11"/>
    </row>
    <row r="15" spans="1:5" x14ac:dyDescent="0.15">
      <c r="A15" s="10" t="s">
        <v>86</v>
      </c>
      <c r="B15" s="10" t="s">
        <v>101</v>
      </c>
      <c r="C15" s="10" t="s">
        <v>59</v>
      </c>
      <c r="D15" s="13" t="s">
        <v>56</v>
      </c>
    </row>
    <row r="16" spans="1:5" x14ac:dyDescent="0.15">
      <c r="A16">
        <v>1.5</v>
      </c>
      <c r="B16" t="s">
        <v>27</v>
      </c>
      <c r="C16" t="s">
        <v>102</v>
      </c>
      <c r="D16" s="11">
        <f>'Recon - Stripe vs Internal'!R9</f>
        <v>176609.97</v>
      </c>
    </row>
    <row r="17" spans="1:6" x14ac:dyDescent="0.15">
      <c r="A17">
        <v>2.2999999999999998</v>
      </c>
      <c r="B17" t="s">
        <v>26</v>
      </c>
      <c r="C17" t="s">
        <v>103</v>
      </c>
      <c r="D17" s="11">
        <f>'Recon - Stripe vs Internal'!R12</f>
        <v>450</v>
      </c>
    </row>
    <row r="18" spans="1:6" x14ac:dyDescent="0.15">
      <c r="A18" s="9" t="s">
        <v>104</v>
      </c>
      <c r="B18" s="9"/>
      <c r="C18" s="9" t="s">
        <v>109</v>
      </c>
      <c r="D18" s="14">
        <f>D16+D17</f>
        <v>177059.97</v>
      </c>
    </row>
    <row r="19" spans="1:6" x14ac:dyDescent="0.15">
      <c r="A19">
        <v>5.2</v>
      </c>
      <c r="B19" t="s">
        <v>5</v>
      </c>
      <c r="C19" t="s">
        <v>106</v>
      </c>
      <c r="D19" s="11">
        <f>'Recon - Stripe vs Internal'!S21</f>
        <v>177059.97</v>
      </c>
    </row>
    <row r="20" spans="1:6" x14ac:dyDescent="0.15">
      <c r="A20" s="21" t="s">
        <v>65</v>
      </c>
      <c r="B20" s="21"/>
      <c r="C20" s="21" t="s">
        <v>107</v>
      </c>
      <c r="D20" s="20">
        <f>D18-D19</f>
        <v>0</v>
      </c>
      <c r="E20" t="str">
        <f>IF(ABS(D20)&lt;1,"✓ ties","✗")</f>
        <v>✓ ties</v>
      </c>
    </row>
    <row r="21" spans="1:6" x14ac:dyDescent="0.15">
      <c r="D21" s="11"/>
    </row>
    <row r="22" spans="1:6" x14ac:dyDescent="0.15">
      <c r="A22" s="9" t="s">
        <v>110</v>
      </c>
      <c r="D22" s="11"/>
    </row>
    <row r="23" spans="1:6" x14ac:dyDescent="0.15">
      <c r="A23" s="10" t="s">
        <v>86</v>
      </c>
      <c r="B23" s="10" t="s">
        <v>101</v>
      </c>
      <c r="C23" s="10" t="s">
        <v>59</v>
      </c>
      <c r="D23" s="13" t="s">
        <v>56</v>
      </c>
    </row>
    <row r="24" spans="1:6" x14ac:dyDescent="0.15">
      <c r="A24">
        <v>7.1</v>
      </c>
      <c r="B24" t="s">
        <v>111</v>
      </c>
      <c r="C24" t="s">
        <v>112</v>
      </c>
      <c r="D24" s="11">
        <f>'Recon - Stripe vs Internal'!S23</f>
        <v>-5280000</v>
      </c>
    </row>
    <row r="25" spans="1:6" x14ac:dyDescent="0.15">
      <c r="A25">
        <v>7.2</v>
      </c>
      <c r="B25" t="s">
        <v>113</v>
      </c>
      <c r="C25" t="s">
        <v>114</v>
      </c>
      <c r="D25" s="11">
        <f>'Recon - Stripe vs Internal'!S24</f>
        <v>5280000</v>
      </c>
    </row>
    <row r="26" spans="1:6" x14ac:dyDescent="0.15">
      <c r="A26" s="18" t="s">
        <v>104</v>
      </c>
      <c r="B26" s="18"/>
      <c r="C26" s="18" t="s">
        <v>115</v>
      </c>
      <c r="D26" s="19">
        <f>D24+D25</f>
        <v>0</v>
      </c>
      <c r="E26" t="str">
        <f>IF(ABS(D26)&lt;1,"✓ nets to zero","✗")</f>
        <v>✓ nets to zero</v>
      </c>
    </row>
    <row r="29" spans="1:6" ht="17" x14ac:dyDescent="0.2">
      <c r="A29" s="59" t="s">
        <v>153</v>
      </c>
    </row>
    <row r="31" spans="1:6" x14ac:dyDescent="0.15">
      <c r="A31" s="10" t="s">
        <v>58</v>
      </c>
      <c r="B31" s="10" t="s">
        <v>61</v>
      </c>
      <c r="C31" s="10" t="s">
        <v>62</v>
      </c>
      <c r="D31" s="10" t="s">
        <v>116</v>
      </c>
      <c r="E31" s="10" t="s">
        <v>117</v>
      </c>
      <c r="F31" s="10" t="s">
        <v>0</v>
      </c>
    </row>
    <row r="32" spans="1:6" x14ac:dyDescent="0.15">
      <c r="A32" t="s">
        <v>70</v>
      </c>
      <c r="B32" t="s">
        <v>118</v>
      </c>
      <c r="C32" s="11">
        <f>'Recon - Stripe vs Internal'!R5+'Recon - Stripe vs Internal'!R6+'Recon - Stripe vs Internal'!R7+'Recon - Stripe vs Internal'!R10+'Recon - Stripe vs Internal'!R13+'Recon - Stripe vs Internal'!R14+'Recon - Stripe vs Internal'!R15+'Recon - Stripe vs Internal'!R16+'Recon - Stripe vs Internal'!R17+'Recon - Stripe vs Internal'!R18+'Recon - Stripe vs Internal'!R19</f>
        <v>24568257.169999857</v>
      </c>
      <c r="D32" s="11">
        <f>'Recon - Stripe vs Internal'!S5+'Recon - Stripe vs Internal'!S6+'Recon - Stripe vs Internal'!S7+'Recon - Stripe vs Internal'!S10+'Recon - Stripe vs Internal'!S13+'Recon - Stripe vs Internal'!S14+'Recon - Stripe vs Internal'!S15+'Recon - Stripe vs Internal'!S16+'Recon - Stripe vs Internal'!S17+'Recon - Stripe vs Internal'!S18+'Recon - Stripe vs Internal'!S19</f>
        <v>23856289.530000184</v>
      </c>
      <c r="E32" s="11">
        <f>C32-D32</f>
        <v>711967.63999967277</v>
      </c>
      <c r="F32" t="s">
        <v>154</v>
      </c>
    </row>
    <row r="33" spans="1:6" x14ac:dyDescent="0.15">
      <c r="A33" t="s">
        <v>79</v>
      </c>
      <c r="B33" t="s">
        <v>119</v>
      </c>
      <c r="C33" s="11">
        <f>'Recon - Stripe vs Internal'!R20+'Recon - Stripe vs Internal'!R21+'Recon - Stripe vs Internal'!R22+'Recon - Stripe vs Internal'!R23+'Recon - Stripe vs Internal'!R24</f>
        <v>0</v>
      </c>
      <c r="D33" s="11">
        <f>'Recon - Stripe vs Internal'!S20+'Recon - Stripe vs Internal'!S21+'Recon - Stripe vs Internal'!S22+'Recon - Stripe vs Internal'!S23+'Recon - Stripe vs Internal'!S24</f>
        <v>-454223.12999999989</v>
      </c>
      <c r="E33" s="11">
        <f>C33-D33</f>
        <v>454223.12999999989</v>
      </c>
      <c r="F33" t="s">
        <v>155</v>
      </c>
    </row>
    <row r="34" spans="1:6" x14ac:dyDescent="0.15">
      <c r="A34" t="s">
        <v>71</v>
      </c>
      <c r="B34" t="s">
        <v>129</v>
      </c>
      <c r="C34" s="11">
        <f>'Recon - Stripe vs Internal'!R8+'Recon - Stripe vs Internal'!R9+'Recon - Stripe vs Internal'!R11+'Recon - Stripe vs Internal'!R12+'Recon - Stripe vs Internal'!R25</f>
        <v>178379.72999999986</v>
      </c>
      <c r="D34" s="11">
        <f>'Recon - Stripe vs Internal'!S8+'Recon - Stripe vs Internal'!S9+'Recon - Stripe vs Internal'!S11+'Recon - Stripe vs Internal'!S12+'Recon - Stripe vs Internal'!S25</f>
        <v>0</v>
      </c>
      <c r="E34" s="11">
        <f>C34-D34</f>
        <v>178379.72999999986</v>
      </c>
      <c r="F34" t="s">
        <v>156</v>
      </c>
    </row>
    <row r="35" spans="1:6" x14ac:dyDescent="0.15">
      <c r="A35" s="16" t="s">
        <v>54</v>
      </c>
      <c r="B35" s="16"/>
      <c r="C35" s="22">
        <f>C32+C33+C34</f>
        <v>24746636.899999857</v>
      </c>
      <c r="D35" s="22">
        <f>D32+D33+D34</f>
        <v>23402066.400000185</v>
      </c>
      <c r="E35" s="22">
        <f>C35-D35</f>
        <v>1344570.4999996722</v>
      </c>
      <c r="F35" s="16"/>
    </row>
    <row r="38" spans="1:6" ht="17" x14ac:dyDescent="0.2">
      <c r="A38" s="59" t="s">
        <v>131</v>
      </c>
    </row>
    <row r="40" spans="1:6" x14ac:dyDescent="0.15">
      <c r="A40" s="10" t="s">
        <v>55</v>
      </c>
      <c r="B40" s="10" t="s">
        <v>132</v>
      </c>
      <c r="C40" s="10" t="s">
        <v>133</v>
      </c>
      <c r="D40" s="10" t="s">
        <v>134</v>
      </c>
      <c r="E40" s="10" t="s">
        <v>0</v>
      </c>
    </row>
    <row r="41" spans="1:6" x14ac:dyDescent="0.15">
      <c r="A41" t="s">
        <v>157</v>
      </c>
      <c r="B41" t="s">
        <v>150</v>
      </c>
      <c r="C41" s="15" t="s">
        <v>135</v>
      </c>
      <c r="D41" s="11">
        <f>('Recon - Stripe vs Internal'!R5+'Recon - Stripe vs Internal'!R6+'Recon - Stripe vs Internal'!R7+'Recon - Stripe vs Internal'!R10+'Recon - Stripe vs Internal'!R14+'Recon - Stripe vs Internal'!R15+'Recon - Stripe vs Internal'!R16+'Recon - Stripe vs Internal'!R17+'Recon - Stripe vs Internal'!R18)-('Recon - Stripe vs Internal'!S5+'Recon - Stripe vs Internal'!S6+'Recon - Stripe vs Internal'!S7+'Recon - Stripe vs Internal'!S10+'Recon - Stripe vs Internal'!S14+'Recon - Stripe vs Internal'!S15+'Recon - Stripe vs Internal'!S16+'Recon - Stripe vs Internal'!S17+'Recon - Stripe vs Internal'!S18)</f>
        <v>576335.89999973774</v>
      </c>
      <c r="E41" t="s">
        <v>136</v>
      </c>
    </row>
    <row r="42" spans="1:6" x14ac:dyDescent="0.15">
      <c r="A42" t="s">
        <v>137</v>
      </c>
      <c r="B42">
        <v>2.5</v>
      </c>
      <c r="C42" s="15" t="s">
        <v>135</v>
      </c>
      <c r="D42" s="11">
        <f>'Recon - Stripe vs Internal'!R13-'Recon - Stripe vs Internal'!S13</f>
        <v>576119.06999999983</v>
      </c>
      <c r="E42" t="s">
        <v>138</v>
      </c>
    </row>
    <row r="43" spans="1:6" x14ac:dyDescent="0.15">
      <c r="A43" t="s">
        <v>120</v>
      </c>
      <c r="B43" t="s">
        <v>139</v>
      </c>
      <c r="C43" s="15" t="s">
        <v>135</v>
      </c>
      <c r="D43" s="11">
        <f>('Recon - Stripe vs Internal'!R8+'Recon - Stripe vs Internal'!R11)-'Recon - Stripe vs Internal'!S20</f>
        <v>0</v>
      </c>
      <c r="E43" t="s">
        <v>140</v>
      </c>
    </row>
    <row r="44" spans="1:6" x14ac:dyDescent="0.15">
      <c r="A44" t="s">
        <v>121</v>
      </c>
      <c r="B44" t="s">
        <v>141</v>
      </c>
      <c r="C44" s="15" t="s">
        <v>135</v>
      </c>
      <c r="D44" s="11">
        <f>('Recon - Stripe vs Internal'!R9+'Recon - Stripe vs Internal'!R12)-'Recon - Stripe vs Internal'!S21</f>
        <v>0</v>
      </c>
      <c r="E44" t="s">
        <v>140</v>
      </c>
    </row>
    <row r="45" spans="1:6" x14ac:dyDescent="0.15">
      <c r="A45" t="s">
        <v>122</v>
      </c>
      <c r="B45" t="s">
        <v>115</v>
      </c>
      <c r="C45" s="15" t="s">
        <v>135</v>
      </c>
      <c r="D45" s="11">
        <f>('Recon - Stripe vs Internal'!R23+'Recon - Stripe vs Internal'!R24)-('Recon - Stripe vs Internal'!S23+'Recon - Stripe vs Internal'!S24)</f>
        <v>0</v>
      </c>
      <c r="E45" t="s">
        <v>142</v>
      </c>
    </row>
    <row r="46" spans="1:6" x14ac:dyDescent="0.15">
      <c r="A46" t="s">
        <v>143</v>
      </c>
      <c r="B46">
        <v>6.1</v>
      </c>
      <c r="C46" s="15" t="s">
        <v>135</v>
      </c>
      <c r="D46" s="11">
        <f>'Recon - Stripe vs Internal'!R22-'Recon - Stripe vs Internal'!S22</f>
        <v>-25920</v>
      </c>
      <c r="E46" t="s">
        <v>144</v>
      </c>
    </row>
    <row r="47" spans="1:6" x14ac:dyDescent="0.15">
      <c r="A47" t="s">
        <v>145</v>
      </c>
      <c r="B47">
        <v>4.3</v>
      </c>
      <c r="C47" s="15" t="s">
        <v>135</v>
      </c>
      <c r="D47" s="11">
        <f>'Recon - Stripe vs Internal'!R19-'Recon - Stripe vs Internal'!S19</f>
        <v>-440487.32999999996</v>
      </c>
      <c r="E47" t="s">
        <v>146</v>
      </c>
    </row>
    <row r="48" spans="1:6" x14ac:dyDescent="0.15">
      <c r="A48" t="s">
        <v>147</v>
      </c>
      <c r="B48">
        <v>8.1</v>
      </c>
      <c r="C48" s="15" t="s">
        <v>135</v>
      </c>
      <c r="D48" s="11">
        <f>'Recon - Stripe vs Internal'!R25-'Recon - Stripe vs Internal'!S25</f>
        <v>658522.85999999987</v>
      </c>
      <c r="E48" t="s">
        <v>158</v>
      </c>
    </row>
    <row r="49" spans="1:5" x14ac:dyDescent="0.15">
      <c r="C49" s="15"/>
      <c r="D49" s="11"/>
    </row>
    <row r="50" spans="1:5" x14ac:dyDescent="0.15">
      <c r="A50" s="18" t="s">
        <v>148</v>
      </c>
      <c r="B50" s="18"/>
      <c r="C50" s="17" t="s">
        <v>149</v>
      </c>
      <c r="D50" s="19">
        <f>SUM(D41:D48)</f>
        <v>1344570.4999997374</v>
      </c>
      <c r="E50" s="18"/>
    </row>
    <row r="51" spans="1:5" x14ac:dyDescent="0.15">
      <c r="A51" s="12" t="s">
        <v>159</v>
      </c>
      <c r="B51" s="12"/>
      <c r="C51" s="12"/>
      <c r="D51" s="79">
        <f>C35-D35</f>
        <v>1344570.4999996722</v>
      </c>
      <c r="E51" s="1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A600-BBAF-6641-A4D4-97AA524D08FF}">
  <dimension ref="A1:W29"/>
  <sheetViews>
    <sheetView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T48" sqref="T48"/>
    </sheetView>
  </sheetViews>
  <sheetFormatPr baseColWidth="10" defaultRowHeight="13" x14ac:dyDescent="0.15"/>
  <cols>
    <col min="1" max="1" width="17" customWidth="1"/>
    <col min="2" max="2" width="28.5" bestFit="1" customWidth="1"/>
    <col min="3" max="3" width="4" bestFit="1" customWidth="1"/>
    <col min="4" max="4" width="4.1640625" bestFit="1" customWidth="1"/>
    <col min="5" max="5" width="46.6640625" customWidth="1"/>
    <col min="6" max="6" width="14" customWidth="1"/>
    <col min="7" max="7" width="12.83203125" bestFit="1" customWidth="1"/>
    <col min="8" max="8" width="13.1640625" bestFit="1" customWidth="1"/>
    <col min="9" max="9" width="10.6640625" bestFit="1" customWidth="1"/>
    <col min="10" max="10" width="11.1640625" bestFit="1" customWidth="1"/>
    <col min="11" max="11" width="13.1640625" bestFit="1" customWidth="1"/>
    <col min="12" max="12" width="11.1640625" bestFit="1" customWidth="1"/>
    <col min="13" max="13" width="15.1640625" bestFit="1" customWidth="1"/>
    <col min="14" max="14" width="12" customWidth="1"/>
    <col min="15" max="15" width="11.6640625" customWidth="1"/>
    <col min="16" max="16" width="14.83203125" customWidth="1"/>
    <col min="17" max="17" width="11.83203125" customWidth="1"/>
    <col min="18" max="19" width="14.1640625" bestFit="1" customWidth="1"/>
    <col min="20" max="20" width="12.1640625" bestFit="1" customWidth="1"/>
    <col min="21" max="21" width="4.6640625" bestFit="1" customWidth="1"/>
    <col min="22" max="22" width="29.83203125" bestFit="1" customWidth="1"/>
    <col min="23" max="23" width="25.6640625" customWidth="1"/>
  </cols>
  <sheetData>
    <row r="1" spans="1:23" ht="18" x14ac:dyDescent="0.2">
      <c r="A1" s="7" t="s">
        <v>66</v>
      </c>
    </row>
    <row r="2" spans="1:23" x14ac:dyDescent="0.15">
      <c r="A2" s="8" t="s">
        <v>67</v>
      </c>
    </row>
    <row r="4" spans="1:23" s="65" customFormat="1" ht="28" customHeight="1" x14ac:dyDescent="0.15">
      <c r="A4" s="60" t="s">
        <v>23</v>
      </c>
      <c r="B4" s="60" t="s">
        <v>36</v>
      </c>
      <c r="C4" s="60" t="s">
        <v>68</v>
      </c>
      <c r="D4" s="60" t="s">
        <v>86</v>
      </c>
      <c r="E4" s="60" t="s">
        <v>61</v>
      </c>
      <c r="F4" s="61" t="s">
        <v>44</v>
      </c>
      <c r="G4" s="61" t="s">
        <v>46</v>
      </c>
      <c r="H4" s="61" t="s">
        <v>11</v>
      </c>
      <c r="I4" s="61" t="s">
        <v>14</v>
      </c>
      <c r="J4" s="61" t="s">
        <v>15</v>
      </c>
      <c r="K4" s="61" t="s">
        <v>16</v>
      </c>
      <c r="L4" s="61" t="s">
        <v>19</v>
      </c>
      <c r="M4" s="61" t="s">
        <v>45</v>
      </c>
      <c r="N4" s="61" t="s">
        <v>50</v>
      </c>
      <c r="O4" s="61" t="s">
        <v>51</v>
      </c>
      <c r="P4" s="61" t="s">
        <v>52</v>
      </c>
      <c r="Q4" s="61" t="s">
        <v>28</v>
      </c>
      <c r="R4" s="62" t="s">
        <v>62</v>
      </c>
      <c r="S4" s="62" t="s">
        <v>64</v>
      </c>
      <c r="T4" s="62" t="s">
        <v>57</v>
      </c>
      <c r="U4" s="63" t="s">
        <v>53</v>
      </c>
      <c r="V4" s="64" t="s">
        <v>63</v>
      </c>
      <c r="W4" s="62" t="s">
        <v>87</v>
      </c>
    </row>
    <row r="5" spans="1:23" x14ac:dyDescent="0.15">
      <c r="A5" s="27" t="s">
        <v>69</v>
      </c>
      <c r="B5" s="27" t="s">
        <v>3</v>
      </c>
      <c r="C5" s="28" t="s">
        <v>70</v>
      </c>
      <c r="D5" s="28">
        <v>1.1000000000000001</v>
      </c>
      <c r="E5" s="29">
        <f>'Data - Stripe'!H4</f>
        <v>0</v>
      </c>
      <c r="F5" s="66">
        <f>SUMIFS('Data - Internal'!$D$2:$D$91,'Data - Internal'!$A$2:$A$91,F$4,'Data - Internal'!$B$2:$B$91,$B5)</f>
        <v>17389232.100000001</v>
      </c>
      <c r="G5" s="66">
        <f>SUMIFS('Data - Internal'!$D$2:$D$91,'Data - Internal'!$A$2:$A$91,G$4,'Data - Internal'!$B$2:$B$91,$B5)</f>
        <v>0</v>
      </c>
      <c r="H5" s="66">
        <f>SUMIFS('Data - Internal'!$D$2:$D$91,'Data - Internal'!$A$2:$A$91,H$4,'Data - Internal'!$B$2:$B$91,$B5)</f>
        <v>8444835.1500000004</v>
      </c>
      <c r="I5" s="66">
        <f>SUMIFS('Data - Internal'!$D$2:$D$91,'Data - Internal'!$A$2:$A$91,I$4,'Data - Internal'!$B$2:$B$91,$B5)</f>
        <v>0</v>
      </c>
      <c r="J5" s="66">
        <f>SUMIFS('Data - Internal'!$D$2:$D$91,'Data - Internal'!$A$2:$A$91,J$4,'Data - Internal'!$B$2:$B$91,$B5)</f>
        <v>111736.11</v>
      </c>
      <c r="K5" s="66">
        <f>SUMIFS('Data - Internal'!$D$2:$D$91,'Data - Internal'!$A$2:$A$91,K$4,'Data - Internal'!$B$2:$B$91,$B5)</f>
        <v>0</v>
      </c>
      <c r="L5" s="66">
        <f>SUMIFS('Data - Internal'!$D$2:$D$91,'Data - Internal'!$A$2:$A$91,L$4,'Data - Internal'!$B$2:$B$91,$B5)</f>
        <v>133742.43</v>
      </c>
      <c r="M5" s="66">
        <f>SUMIFS('Data - Internal'!$D$2:$D$91,'Data - Internal'!$A$2:$A$91,M$4,'Data - Internal'!$B$2:$B$91,$B5)</f>
        <v>913610914.32000005</v>
      </c>
      <c r="N5" s="66">
        <f>SUMIFS('Data - Internal'!$D$2:$D$91,'Data - Internal'!$A$2:$A$91,N$4,'Data - Internal'!$B$2:$B$91,$B5)</f>
        <v>8944461.3300000001</v>
      </c>
      <c r="O5" s="66">
        <f>SUMIFS('Data - Internal'!$D$2:$D$91,'Data - Internal'!$A$2:$A$91,O$4,'Data - Internal'!$B$2:$B$91,$B5)</f>
        <v>480967.65</v>
      </c>
      <c r="P5" s="66">
        <f>SUMIFS('Data - Internal'!$D$2:$D$91,'Data - Internal'!$A$2:$A$91,P$4,'Data - Internal'!$B$2:$B$91,$B5)</f>
        <v>5008958.67</v>
      </c>
      <c r="Q5" s="66">
        <f>SUMIFS('Data - Internal'!$D$2:$D$91,'Data - Internal'!$A$2:$A$91,Q$4,'Data - Internal'!$B$2:$B$91,$B5)</f>
        <v>0</v>
      </c>
      <c r="R5" s="66">
        <f>SUM(F5:Q5)</f>
        <v>954124847.75999999</v>
      </c>
      <c r="S5" s="66">
        <f>SUMIFS('Data - Stripe'!F:F,'Data - Stripe'!A:A,'Recon - Stripe vs Internal'!B5)</f>
        <v>953548511.4000001</v>
      </c>
      <c r="T5" s="66">
        <f>R5-S5</f>
        <v>576336.3599998951</v>
      </c>
      <c r="U5" s="30" t="str">
        <f>IF(ABS(T5)&lt;1,"✓","✗")</f>
        <v>✗</v>
      </c>
      <c r="V5" s="27" t="s">
        <v>123</v>
      </c>
      <c r="W5" t="s">
        <v>88</v>
      </c>
    </row>
    <row r="6" spans="1:23" x14ac:dyDescent="0.15">
      <c r="A6" s="27" t="s">
        <v>69</v>
      </c>
      <c r="B6" s="27" t="s">
        <v>8</v>
      </c>
      <c r="C6" s="28" t="s">
        <v>70</v>
      </c>
      <c r="D6" s="28">
        <v>1.2</v>
      </c>
      <c r="E6" s="29">
        <f>'Data - Stripe'!H5</f>
        <v>0</v>
      </c>
      <c r="F6" s="66">
        <f>SUMIFS('Data - Internal'!$D$2:$D$91,'Data - Internal'!$A$2:$A$91,F$4,'Data - Internal'!$B$2:$B$91,$B6)</f>
        <v>-111768.15</v>
      </c>
      <c r="G6" s="66">
        <f>SUMIFS('Data - Internal'!$D$2:$D$91,'Data - Internal'!$A$2:$A$91,G$4,'Data - Internal'!$B$2:$B$91,$B6)</f>
        <v>0</v>
      </c>
      <c r="H6" s="66">
        <f>SUMIFS('Data - Internal'!$D$2:$D$91,'Data - Internal'!$A$2:$A$91,H$4,'Data - Internal'!$B$2:$B$91,$B6)</f>
        <v>-66831.179999999993</v>
      </c>
      <c r="I6" s="66">
        <f>SUMIFS('Data - Internal'!$D$2:$D$91,'Data - Internal'!$A$2:$A$91,I$4,'Data - Internal'!$B$2:$B$91,$B6)</f>
        <v>0</v>
      </c>
      <c r="J6" s="66">
        <f>SUMIFS('Data - Internal'!$D$2:$D$91,'Data - Internal'!$A$2:$A$91,J$4,'Data - Internal'!$B$2:$B$91,$B6)</f>
        <v>-143.88</v>
      </c>
      <c r="K6" s="66">
        <f>SUMIFS('Data - Internal'!$D$2:$D$91,'Data - Internal'!$A$2:$A$91,K$4,'Data - Internal'!$B$2:$B$91,$B6)</f>
        <v>0</v>
      </c>
      <c r="L6" s="66">
        <f>SUMIFS('Data - Internal'!$D$2:$D$91,'Data - Internal'!$A$2:$A$91,L$4,'Data - Internal'!$B$2:$B$91,$B6)</f>
        <v>-1926</v>
      </c>
      <c r="M6" s="66">
        <f>SUMIFS('Data - Internal'!$D$2:$D$91,'Data - Internal'!$A$2:$A$91,M$4,'Data - Internal'!$B$2:$B$91,$B6)</f>
        <v>-3630794.67</v>
      </c>
      <c r="N6" s="66">
        <f>SUMIFS('Data - Internal'!$D$2:$D$91,'Data - Internal'!$A$2:$A$91,N$4,'Data - Internal'!$B$2:$B$91,$B6)</f>
        <v>-121404.39</v>
      </c>
      <c r="O6" s="66">
        <f>SUMIFS('Data - Internal'!$D$2:$D$91,'Data - Internal'!$A$2:$A$91,O$4,'Data - Internal'!$B$2:$B$91,$B6)</f>
        <v>-12859.26</v>
      </c>
      <c r="P6" s="66">
        <f>SUMIFS('Data - Internal'!$D$2:$D$91,'Data - Internal'!$A$2:$A$91,P$4,'Data - Internal'!$B$2:$B$91,$B6)</f>
        <v>-120037.95</v>
      </c>
      <c r="Q6" s="66">
        <f>SUMIFS('Data - Internal'!$D$2:$D$91,'Data - Internal'!$A$2:$A$91,Q$4,'Data - Internal'!$B$2:$B$91,$B6)</f>
        <v>0</v>
      </c>
      <c r="R6" s="66">
        <f>SUM(F6:Q6)</f>
        <v>-4065765.48</v>
      </c>
      <c r="S6" s="66">
        <f>SUMIFS('Data - Stripe'!F:F,'Data - Stripe'!A:A,'Recon - Stripe vs Internal'!B6)</f>
        <v>-4065765.4799999995</v>
      </c>
      <c r="T6" s="66">
        <f>R6-S6</f>
        <v>0</v>
      </c>
      <c r="U6" s="30" t="str">
        <f>IF(ABS(T6)&lt;1,"✓","✗")</f>
        <v>✓</v>
      </c>
      <c r="V6" s="27" t="str">
        <f>IF(U6="✓","",IF(R6=0,"Not in Internal",IF(S6=0,"Not in Stripe",IF(ABS(T6)&lt;ABS(S6)*0.001,"Rounding",IF(T6&gt;0,"Internal over Stripe","Internal under Stripe")))))</f>
        <v/>
      </c>
    </row>
    <row r="7" spans="1:23" x14ac:dyDescent="0.15">
      <c r="A7" s="27" t="s">
        <v>69</v>
      </c>
      <c r="B7" s="27" t="s">
        <v>18</v>
      </c>
      <c r="C7" s="28" t="s">
        <v>70</v>
      </c>
      <c r="D7" s="28">
        <v>1.3</v>
      </c>
      <c r="E7" s="29">
        <f>'Data - Stripe'!H6</f>
        <v>0</v>
      </c>
      <c r="F7" s="66">
        <f>SUMIFS('Data - Internal'!$D$2:$D$91,'Data - Internal'!$A$2:$A$91,F$4,'Data - Internal'!$B$2:$B$91,$B7)</f>
        <v>0</v>
      </c>
      <c r="G7" s="66">
        <f>SUMIFS('Data - Internal'!$D$2:$D$91,'Data - Internal'!$A$2:$A$91,G$4,'Data - Internal'!$B$2:$B$91,$B7)</f>
        <v>0</v>
      </c>
      <c r="H7" s="66">
        <f>SUMIFS('Data - Internal'!$D$2:$D$91,'Data - Internal'!$A$2:$A$91,H$4,'Data - Internal'!$B$2:$B$91,$B7)</f>
        <v>0</v>
      </c>
      <c r="I7" s="66">
        <f>SUMIFS('Data - Internal'!$D$2:$D$91,'Data - Internal'!$A$2:$A$91,I$4,'Data - Internal'!$B$2:$B$91,$B7)</f>
        <v>0</v>
      </c>
      <c r="J7" s="66">
        <f>SUMIFS('Data - Internal'!$D$2:$D$91,'Data - Internal'!$A$2:$A$91,J$4,'Data - Internal'!$B$2:$B$91,$B7)</f>
        <v>0</v>
      </c>
      <c r="K7" s="66">
        <f>SUMIFS('Data - Internal'!$D$2:$D$91,'Data - Internal'!$A$2:$A$91,K$4,'Data - Internal'!$B$2:$B$91,$B7)</f>
        <v>7302.96</v>
      </c>
      <c r="L7" s="66">
        <f>SUMIFS('Data - Internal'!$D$2:$D$91,'Data - Internal'!$A$2:$A$91,L$4,'Data - Internal'!$B$2:$B$91,$B7)</f>
        <v>0</v>
      </c>
      <c r="M7" s="66">
        <f>SUMIFS('Data - Internal'!$D$2:$D$91,'Data - Internal'!$A$2:$A$91,M$4,'Data - Internal'!$B$2:$B$91,$B7)</f>
        <v>0</v>
      </c>
      <c r="N7" s="66">
        <f>SUMIFS('Data - Internal'!$D$2:$D$91,'Data - Internal'!$A$2:$A$91,N$4,'Data - Internal'!$B$2:$B$91,$B7)</f>
        <v>0</v>
      </c>
      <c r="O7" s="66">
        <f>SUMIFS('Data - Internal'!$D$2:$D$91,'Data - Internal'!$A$2:$A$91,O$4,'Data - Internal'!$B$2:$B$91,$B7)</f>
        <v>0</v>
      </c>
      <c r="P7" s="66">
        <f>SUMIFS('Data - Internal'!$D$2:$D$91,'Data - Internal'!$A$2:$A$91,P$4,'Data - Internal'!$B$2:$B$91,$B7)</f>
        <v>0</v>
      </c>
      <c r="Q7" s="66">
        <f>SUMIFS('Data - Internal'!$D$2:$D$91,'Data - Internal'!$A$2:$A$91,Q$4,'Data - Internal'!$B$2:$B$91,$B7)</f>
        <v>0</v>
      </c>
      <c r="R7" s="66">
        <f>SUM(F7:Q7)</f>
        <v>7302.96</v>
      </c>
      <c r="S7" s="66">
        <f>SUMIFS('Data - Stripe'!F:F,'Data - Stripe'!A:A,'Recon - Stripe vs Internal'!B7)</f>
        <v>7302.9600000000009</v>
      </c>
      <c r="T7" s="66">
        <f>R7-S7</f>
        <v>0</v>
      </c>
      <c r="U7" s="30" t="str">
        <f>IF(ABS(T7)&lt;1,"✓","✗")</f>
        <v>✓</v>
      </c>
      <c r="V7" s="27" t="str">
        <f>IF(U7="✓","",IF(R7=0,"Not in Internal",IF(S7=0,"Not in Stripe",IF(ABS(T7)&lt;ABS(S7)*0.001,"Rounding",IF(T7&gt;0,"Internal over Stripe","Internal under Stripe")))))</f>
        <v/>
      </c>
    </row>
    <row r="8" spans="1:23" x14ac:dyDescent="0.15">
      <c r="A8" s="27" t="s">
        <v>69</v>
      </c>
      <c r="B8" s="27" t="s">
        <v>25</v>
      </c>
      <c r="C8" s="28" t="s">
        <v>71</v>
      </c>
      <c r="D8" s="28">
        <v>1.4</v>
      </c>
      <c r="E8" s="29" t="s">
        <v>72</v>
      </c>
      <c r="F8" s="66">
        <f>SUMIFS('Data - Internal'!$D$2:$D$91,'Data - Internal'!$A$2:$A$91,F$4,'Data - Internal'!$B$2:$B$91,$B8)</f>
        <v>-73224.81</v>
      </c>
      <c r="G8" s="66">
        <f>SUMIFS('Data - Internal'!$D$2:$D$91,'Data - Internal'!$A$2:$A$91,G$4,'Data - Internal'!$B$2:$B$91,$B8)</f>
        <v>0</v>
      </c>
      <c r="H8" s="66">
        <f>SUMIFS('Data - Internal'!$D$2:$D$91,'Data - Internal'!$A$2:$A$91,H$4,'Data - Internal'!$B$2:$B$91,$B8)</f>
        <v>-29128.83</v>
      </c>
      <c r="I8" s="66">
        <f>SUMIFS('Data - Internal'!$D$2:$D$91,'Data - Internal'!$A$2:$A$91,I$4,'Data - Internal'!$B$2:$B$91,$B8)</f>
        <v>0</v>
      </c>
      <c r="J8" s="66">
        <f>SUMIFS('Data - Internal'!$D$2:$D$91,'Data - Internal'!$A$2:$A$91,J$4,'Data - Internal'!$B$2:$B$91,$B8)</f>
        <v>0</v>
      </c>
      <c r="K8" s="66">
        <f>SUMIFS('Data - Internal'!$D$2:$D$91,'Data - Internal'!$A$2:$A$91,K$4,'Data - Internal'!$B$2:$B$91,$B8)</f>
        <v>0</v>
      </c>
      <c r="L8" s="66">
        <f>SUMIFS('Data - Internal'!$D$2:$D$91,'Data - Internal'!$A$2:$A$91,L$4,'Data - Internal'!$B$2:$B$91,$B8)</f>
        <v>0</v>
      </c>
      <c r="M8" s="66">
        <f>SUMIFS('Data - Internal'!$D$2:$D$91,'Data - Internal'!$A$2:$A$91,M$4,'Data - Internal'!$B$2:$B$91,$B8)</f>
        <v>-455022.99</v>
      </c>
      <c r="N8" s="66">
        <f>SUMIFS('Data - Internal'!$D$2:$D$91,'Data - Internal'!$A$2:$A$91,N$4,'Data - Internal'!$B$2:$B$91,$B8)</f>
        <v>-30002.34</v>
      </c>
      <c r="O8" s="66">
        <f>SUMIFS('Data - Internal'!$D$2:$D$91,'Data - Internal'!$A$2:$A$91,O$4,'Data - Internal'!$B$2:$B$91,$B8)</f>
        <v>-379.65</v>
      </c>
      <c r="P8" s="66">
        <f>SUMIFS('Data - Internal'!$D$2:$D$91,'Data - Internal'!$A$2:$A$91,P$4,'Data - Internal'!$B$2:$B$91,$B8)</f>
        <v>-15309.48</v>
      </c>
      <c r="Q8" s="66">
        <f>SUMIFS('Data - Internal'!$D$2:$D$91,'Data - Internal'!$A$2:$A$91,Q$4,'Data - Internal'!$B$2:$B$91,$B8)</f>
        <v>0</v>
      </c>
      <c r="R8" s="66">
        <f>SUM(F8:Q8)</f>
        <v>-603068.1</v>
      </c>
      <c r="S8" s="66">
        <f>SUMIFS('Data - Stripe'!F:F,'Data - Stripe'!A:A,'Recon - Stripe vs Internal'!B8)</f>
        <v>0</v>
      </c>
      <c r="T8" s="66">
        <f>R8-S8</f>
        <v>-603068.1</v>
      </c>
      <c r="U8" s="30" t="str">
        <f>IF(ABS(T8)&lt;1,"✓","✗")</f>
        <v>✗</v>
      </c>
      <c r="V8" s="27" t="s">
        <v>125</v>
      </c>
      <c r="W8" s="24" t="s">
        <v>89</v>
      </c>
    </row>
    <row r="9" spans="1:23" x14ac:dyDescent="0.15">
      <c r="A9" s="27" t="s">
        <v>69</v>
      </c>
      <c r="B9" s="27" t="s">
        <v>27</v>
      </c>
      <c r="C9" s="28" t="s">
        <v>71</v>
      </c>
      <c r="D9" s="28">
        <v>1.5</v>
      </c>
      <c r="E9" s="29" t="s">
        <v>73</v>
      </c>
      <c r="F9" s="66">
        <f>SUMIFS('Data - Internal'!$D$2:$D$91,'Data - Internal'!$A$2:$A$91,F$4,'Data - Internal'!$B$2:$B$91,$B9)</f>
        <v>54531.63</v>
      </c>
      <c r="G9" s="66">
        <f>SUMIFS('Data - Internal'!$D$2:$D$91,'Data - Internal'!$A$2:$A$91,G$4,'Data - Internal'!$B$2:$B$91,$B9)</f>
        <v>0</v>
      </c>
      <c r="H9" s="66">
        <f>SUMIFS('Data - Internal'!$D$2:$D$91,'Data - Internal'!$A$2:$A$91,H$4,'Data - Internal'!$B$2:$B$91,$B9)</f>
        <v>7460.19</v>
      </c>
      <c r="I9" s="66">
        <f>SUMIFS('Data - Internal'!$D$2:$D$91,'Data - Internal'!$A$2:$A$91,I$4,'Data - Internal'!$B$2:$B$91,$B9)</f>
        <v>0</v>
      </c>
      <c r="J9" s="66">
        <f>SUMIFS('Data - Internal'!$D$2:$D$91,'Data - Internal'!$A$2:$A$91,J$4,'Data - Internal'!$B$2:$B$91,$B9)</f>
        <v>0</v>
      </c>
      <c r="K9" s="66">
        <f>SUMIFS('Data - Internal'!$D$2:$D$91,'Data - Internal'!$A$2:$A$91,K$4,'Data - Internal'!$B$2:$B$91,$B9)</f>
        <v>0</v>
      </c>
      <c r="L9" s="66">
        <f>SUMIFS('Data - Internal'!$D$2:$D$91,'Data - Internal'!$A$2:$A$91,L$4,'Data - Internal'!$B$2:$B$91,$B9)</f>
        <v>0</v>
      </c>
      <c r="M9" s="66">
        <f>SUMIFS('Data - Internal'!$D$2:$D$91,'Data - Internal'!$A$2:$A$91,M$4,'Data - Internal'!$B$2:$B$91,$B9)</f>
        <v>111510.03</v>
      </c>
      <c r="N9" s="66">
        <f>SUMIFS('Data - Internal'!$D$2:$D$91,'Data - Internal'!$A$2:$A$91,N$4,'Data - Internal'!$B$2:$B$91,$B9)</f>
        <v>1884.12</v>
      </c>
      <c r="O9" s="66">
        <f>SUMIFS('Data - Internal'!$D$2:$D$91,'Data - Internal'!$A$2:$A$91,O$4,'Data - Internal'!$B$2:$B$91,$B9)</f>
        <v>0</v>
      </c>
      <c r="P9" s="66">
        <f>SUMIFS('Data - Internal'!$D$2:$D$91,'Data - Internal'!$A$2:$A$91,P$4,'Data - Internal'!$B$2:$B$91,$B9)</f>
        <v>1224</v>
      </c>
      <c r="Q9" s="66">
        <f>SUMIFS('Data - Internal'!$D$2:$D$91,'Data - Internal'!$A$2:$A$91,Q$4,'Data - Internal'!$B$2:$B$91,$B9)</f>
        <v>0</v>
      </c>
      <c r="R9" s="66">
        <f>SUM(F9:Q9)</f>
        <v>176609.97</v>
      </c>
      <c r="S9" s="66">
        <f>SUMIFS('Data - Stripe'!F:F,'Data - Stripe'!A:A,'Recon - Stripe vs Internal'!B9)</f>
        <v>0</v>
      </c>
      <c r="T9" s="66">
        <f>R9-S9</f>
        <v>176609.97</v>
      </c>
      <c r="U9" s="30" t="str">
        <f>IF(ABS(T9)&lt;1,"✓","✗")</f>
        <v>✗</v>
      </c>
      <c r="V9" s="27" t="s">
        <v>126</v>
      </c>
      <c r="W9" s="24" t="s">
        <v>90</v>
      </c>
    </row>
    <row r="10" spans="1:23" x14ac:dyDescent="0.15">
      <c r="A10" s="27" t="s">
        <v>69</v>
      </c>
      <c r="B10" s="27" t="s">
        <v>13</v>
      </c>
      <c r="C10" s="28" t="s">
        <v>70</v>
      </c>
      <c r="D10" s="28">
        <v>1.6</v>
      </c>
      <c r="E10" s="29">
        <f>'Data - Stripe'!H15</f>
        <v>0</v>
      </c>
      <c r="F10" s="66">
        <f>SUMIFS('Data - Internal'!$D$2:$D$91,'Data - Internal'!$A$2:$A$91,F$4,'Data - Internal'!$B$2:$B$91,$B10)</f>
        <v>0</v>
      </c>
      <c r="G10" s="66">
        <f>SUMIFS('Data - Internal'!$D$2:$D$91,'Data - Internal'!$A$2:$A$91,G$4,'Data - Internal'!$B$2:$B$91,$B10)</f>
        <v>0</v>
      </c>
      <c r="H10" s="66">
        <f>SUMIFS('Data - Internal'!$D$2:$D$91,'Data - Internal'!$A$2:$A$91,H$4,'Data - Internal'!$B$2:$B$91,$B10)</f>
        <v>-138824.01</v>
      </c>
      <c r="I10" s="66">
        <f>SUMIFS('Data - Internal'!$D$2:$D$91,'Data - Internal'!$A$2:$A$91,I$4,'Data - Internal'!$B$2:$B$91,$B10)</f>
        <v>0</v>
      </c>
      <c r="J10" s="66">
        <f>SUMIFS('Data - Internal'!$D$2:$D$91,'Data - Internal'!$A$2:$A$91,J$4,'Data - Internal'!$B$2:$B$91,$B10)</f>
        <v>-3383.29</v>
      </c>
      <c r="K10" s="66">
        <f>SUMIFS('Data - Internal'!$D$2:$D$91,'Data - Internal'!$A$2:$A$91,K$4,'Data - Internal'!$B$2:$B$91,$B10)</f>
        <v>-2857156.69</v>
      </c>
      <c r="L10" s="66">
        <f>SUMIFS('Data - Internal'!$D$2:$D$91,'Data - Internal'!$A$2:$A$91,L$4,'Data - Internal'!$B$2:$B$91,$B10)</f>
        <v>-1965.6</v>
      </c>
      <c r="M10" s="66">
        <f>SUMIFS('Data - Internal'!$D$2:$D$91,'Data - Internal'!$A$2:$A$91,M$4,'Data - Internal'!$B$2:$B$91,$B10)</f>
        <v>-13725550.199999999</v>
      </c>
      <c r="N10" s="66">
        <f>SUMIFS('Data - Internal'!$D$2:$D$91,'Data - Internal'!$A$2:$A$91,N$4,'Data - Internal'!$B$2:$B$91,$B10)</f>
        <v>-134076.97</v>
      </c>
      <c r="O10" s="66">
        <f>SUMIFS('Data - Internal'!$D$2:$D$91,'Data - Internal'!$A$2:$A$91,O$4,'Data - Internal'!$B$2:$B$91,$B10)</f>
        <v>-7392.96</v>
      </c>
      <c r="P10" s="66">
        <f>SUMIFS('Data - Internal'!$D$2:$D$91,'Data - Internal'!$A$2:$A$91,P$4,'Data - Internal'!$B$2:$B$91,$B10)</f>
        <v>-91487.23</v>
      </c>
      <c r="Q10" s="66">
        <f>SUMIFS('Data - Internal'!$D$2:$D$91,'Data - Internal'!$A$2:$A$91,Q$4,'Data - Internal'!$B$2:$B$91,$B10)</f>
        <v>0</v>
      </c>
      <c r="R10" s="66">
        <f>SUM(F10:Q10)</f>
        <v>-16959836.949999999</v>
      </c>
      <c r="S10" s="66">
        <f>SUMIFS('Data - Stripe'!F:F,'Data - Stripe'!A:A,'Recon - Stripe vs Internal'!B10)</f>
        <v>-16959836.490000002</v>
      </c>
      <c r="T10" s="66">
        <f>R10-S10</f>
        <v>-0.45999999716877937</v>
      </c>
      <c r="U10" s="30" t="str">
        <f>IF(ABS(T10)&lt;1,"✓","✗")</f>
        <v>✓</v>
      </c>
      <c r="V10" s="27" t="str">
        <f>IF(U10="✓","",IF(R10=0,"Not in Internal",IF(S10=0,"Not in Stripe",IF(ABS(T10)&lt;ABS(S10)*0.001,"Rounding",IF(T10&gt;0,"Internal over Stripe","Internal under Stripe")))))</f>
        <v/>
      </c>
      <c r="W10" s="24"/>
    </row>
    <row r="11" spans="1:23" x14ac:dyDescent="0.15">
      <c r="A11" s="31" t="s">
        <v>74</v>
      </c>
      <c r="B11" s="31" t="s">
        <v>24</v>
      </c>
      <c r="C11" s="32" t="s">
        <v>71</v>
      </c>
      <c r="D11" s="32">
        <v>2.2000000000000002</v>
      </c>
      <c r="E11" s="33" t="s">
        <v>75</v>
      </c>
      <c r="F11" s="67">
        <f>SUMIFS('Data - Internal'!$D$2:$D$91,'Data - Internal'!$A$2:$A$91,F$4,'Data - Internal'!$B$2:$B$91,$B11)</f>
        <v>-675</v>
      </c>
      <c r="G11" s="67">
        <f>SUMIFS('Data - Internal'!$D$2:$D$91,'Data - Internal'!$A$2:$A$91,G$4,'Data - Internal'!$B$2:$B$91,$B11)</f>
        <v>0</v>
      </c>
      <c r="H11" s="67">
        <f>SUMIFS('Data - Internal'!$D$2:$D$91,'Data - Internal'!$A$2:$A$91,H$4,'Data - Internal'!$B$2:$B$91,$B11)</f>
        <v>-2205</v>
      </c>
      <c r="I11" s="67">
        <f>SUMIFS('Data - Internal'!$D$2:$D$91,'Data - Internal'!$A$2:$A$91,I$4,'Data - Internal'!$B$2:$B$91,$B11)</f>
        <v>0</v>
      </c>
      <c r="J11" s="67">
        <f>SUMIFS('Data - Internal'!$D$2:$D$91,'Data - Internal'!$A$2:$A$91,J$4,'Data - Internal'!$B$2:$B$91,$B11)</f>
        <v>0</v>
      </c>
      <c r="K11" s="67">
        <f>SUMIFS('Data - Internal'!$D$2:$D$91,'Data - Internal'!$A$2:$A$91,K$4,'Data - Internal'!$B$2:$B$91,$B11)</f>
        <v>0</v>
      </c>
      <c r="L11" s="67">
        <f>SUMIFS('Data - Internal'!$D$2:$D$91,'Data - Internal'!$A$2:$A$91,L$4,'Data - Internal'!$B$2:$B$91,$B11)</f>
        <v>0</v>
      </c>
      <c r="M11" s="67">
        <f>SUMIFS('Data - Internal'!$D$2:$D$91,'Data - Internal'!$A$2:$A$91,M$4,'Data - Internal'!$B$2:$B$91,$B11)</f>
        <v>-42345</v>
      </c>
      <c r="N11" s="67">
        <f>SUMIFS('Data - Internal'!$D$2:$D$91,'Data - Internal'!$A$2:$A$91,N$4,'Data - Internal'!$B$2:$B$91,$B11)</f>
        <v>-6120</v>
      </c>
      <c r="O11" s="67">
        <f>SUMIFS('Data - Internal'!$D$2:$D$91,'Data - Internal'!$A$2:$A$91,O$4,'Data - Internal'!$B$2:$B$91,$B11)</f>
        <v>-45</v>
      </c>
      <c r="P11" s="67">
        <f>SUMIFS('Data - Internal'!$D$2:$D$91,'Data - Internal'!$A$2:$A$91,P$4,'Data - Internal'!$B$2:$B$91,$B11)</f>
        <v>-2745</v>
      </c>
      <c r="Q11" s="67">
        <f>SUMIFS('Data - Internal'!$D$2:$D$91,'Data - Internal'!$A$2:$A$91,Q$4,'Data - Internal'!$B$2:$B$91,$B11)</f>
        <v>0</v>
      </c>
      <c r="R11" s="67">
        <f>SUM(F11:Q11)</f>
        <v>-54135</v>
      </c>
      <c r="S11" s="67">
        <f>SUMIFS('Data - Stripe'!F:F,'Data - Stripe'!A:A,'Recon - Stripe vs Internal'!B11)</f>
        <v>0</v>
      </c>
      <c r="T11" s="67">
        <f>R11-S11</f>
        <v>-54135</v>
      </c>
      <c r="U11" s="34" t="str">
        <f>IF(ABS(T11)&lt;1,"✓","✗")</f>
        <v>✗</v>
      </c>
      <c r="V11" s="31" t="s">
        <v>125</v>
      </c>
      <c r="W11" s="24" t="s">
        <v>91</v>
      </c>
    </row>
    <row r="12" spans="1:23" x14ac:dyDescent="0.15">
      <c r="A12" s="31" t="s">
        <v>74</v>
      </c>
      <c r="B12" s="31" t="s">
        <v>26</v>
      </c>
      <c r="C12" s="32" t="s">
        <v>71</v>
      </c>
      <c r="D12" s="32">
        <v>2.2999999999999998</v>
      </c>
      <c r="E12" s="33" t="s">
        <v>76</v>
      </c>
      <c r="F12" s="67">
        <f>SUMIFS('Data - Internal'!$D$2:$D$91,'Data - Internal'!$A$2:$A$91,F$4,'Data - Internal'!$B$2:$B$91,$B12)</f>
        <v>450</v>
      </c>
      <c r="G12" s="67">
        <f>SUMIFS('Data - Internal'!$D$2:$D$91,'Data - Internal'!$A$2:$A$91,G$4,'Data - Internal'!$B$2:$B$91,$B12)</f>
        <v>0</v>
      </c>
      <c r="H12" s="67">
        <f>SUMIFS('Data - Internal'!$D$2:$D$91,'Data - Internal'!$A$2:$A$91,H$4,'Data - Internal'!$B$2:$B$91,$B12)</f>
        <v>0</v>
      </c>
      <c r="I12" s="67">
        <f>SUMIFS('Data - Internal'!$D$2:$D$91,'Data - Internal'!$A$2:$A$91,I$4,'Data - Internal'!$B$2:$B$91,$B12)</f>
        <v>0</v>
      </c>
      <c r="J12" s="67">
        <f>SUMIFS('Data - Internal'!$D$2:$D$91,'Data - Internal'!$A$2:$A$91,J$4,'Data - Internal'!$B$2:$B$91,$B12)</f>
        <v>0</v>
      </c>
      <c r="K12" s="67">
        <f>SUMIFS('Data - Internal'!$D$2:$D$91,'Data - Internal'!$A$2:$A$91,K$4,'Data - Internal'!$B$2:$B$91,$B12)</f>
        <v>0</v>
      </c>
      <c r="L12" s="67">
        <f>SUMIFS('Data - Internal'!$D$2:$D$91,'Data - Internal'!$A$2:$A$91,L$4,'Data - Internal'!$B$2:$B$91,$B12)</f>
        <v>0</v>
      </c>
      <c r="M12" s="67">
        <f>SUMIFS('Data - Internal'!$D$2:$D$91,'Data - Internal'!$A$2:$A$91,M$4,'Data - Internal'!$B$2:$B$91,$B12)</f>
        <v>0</v>
      </c>
      <c r="N12" s="67">
        <f>SUMIFS('Data - Internal'!$D$2:$D$91,'Data - Internal'!$A$2:$A$91,N$4,'Data - Internal'!$B$2:$B$91,$B12)</f>
        <v>0</v>
      </c>
      <c r="O12" s="67">
        <f>SUMIFS('Data - Internal'!$D$2:$D$91,'Data - Internal'!$A$2:$A$91,O$4,'Data - Internal'!$B$2:$B$91,$B12)</f>
        <v>0</v>
      </c>
      <c r="P12" s="67">
        <f>SUMIFS('Data - Internal'!$D$2:$D$91,'Data - Internal'!$A$2:$A$91,P$4,'Data - Internal'!$B$2:$B$91,$B12)</f>
        <v>0</v>
      </c>
      <c r="Q12" s="67">
        <f>SUMIFS('Data - Internal'!$D$2:$D$91,'Data - Internal'!$A$2:$A$91,Q$4,'Data - Internal'!$B$2:$B$91,$B12)</f>
        <v>0</v>
      </c>
      <c r="R12" s="67">
        <f>SUM(F12:Q12)</f>
        <v>450</v>
      </c>
      <c r="S12" s="67">
        <f>SUMIFS('Data - Stripe'!F:F,'Data - Stripe'!A:A,'Recon - Stripe vs Internal'!B12)</f>
        <v>0</v>
      </c>
      <c r="T12" s="67">
        <f>R12-S12</f>
        <v>450</v>
      </c>
      <c r="U12" s="34" t="str">
        <f>IF(ABS(T12)&lt;1,"✓","✗")</f>
        <v>✗</v>
      </c>
      <c r="V12" s="31" t="s">
        <v>126</v>
      </c>
      <c r="W12" s="24" t="s">
        <v>92</v>
      </c>
    </row>
    <row r="13" spans="1:23" x14ac:dyDescent="0.15">
      <c r="A13" s="31" t="s">
        <v>74</v>
      </c>
      <c r="B13" s="31" t="s">
        <v>12</v>
      </c>
      <c r="C13" s="32" t="s">
        <v>70</v>
      </c>
      <c r="D13" s="32">
        <v>2.5</v>
      </c>
      <c r="E13" s="33">
        <f>'Data - Stripe'!H14</f>
        <v>0</v>
      </c>
      <c r="F13" s="67">
        <f>SUMIFS('Data - Internal'!$D$2:$D$91,'Data - Internal'!$A$2:$A$91,F$4,'Data - Internal'!$B$2:$B$91,$B13)</f>
        <v>576119.01</v>
      </c>
      <c r="G13" s="67">
        <f>SUMIFS('Data - Internal'!$D$2:$D$91,'Data - Internal'!$A$2:$A$91,G$4,'Data - Internal'!$B$2:$B$91,$B13)</f>
        <v>0</v>
      </c>
      <c r="H13" s="67">
        <f>SUMIFS('Data - Internal'!$D$2:$D$91,'Data - Internal'!$A$2:$A$91,H$4,'Data - Internal'!$B$2:$B$91,$B13)</f>
        <v>-2378.8200000000002</v>
      </c>
      <c r="I13" s="67">
        <f>SUMIFS('Data - Internal'!$D$2:$D$91,'Data - Internal'!$A$2:$A$91,I$4,'Data - Internal'!$B$2:$B$91,$B13)</f>
        <v>0</v>
      </c>
      <c r="J13" s="67">
        <f>SUMIFS('Data - Internal'!$D$2:$D$91,'Data - Internal'!$A$2:$A$91,J$4,'Data - Internal'!$B$2:$B$91,$B13)</f>
        <v>-263.23</v>
      </c>
      <c r="K13" s="67">
        <f>SUMIFS('Data - Internal'!$D$2:$D$91,'Data - Internal'!$A$2:$A$91,K$4,'Data - Internal'!$B$2:$B$91,$B13)</f>
        <v>-1138670.8500000001</v>
      </c>
      <c r="L13" s="67">
        <f>SUMIFS('Data - Internal'!$D$2:$D$91,'Data - Internal'!$A$2:$A$91,L$4,'Data - Internal'!$B$2:$B$91,$B13)</f>
        <v>-80.430000000000007</v>
      </c>
      <c r="M13" s="67">
        <f>SUMIFS('Data - Internal'!$D$2:$D$91,'Data - Internal'!$A$2:$A$91,M$4,'Data - Internal'!$B$2:$B$91,$B13)</f>
        <v>-353330.84</v>
      </c>
      <c r="N13" s="67">
        <f>SUMIFS('Data - Internal'!$D$2:$D$91,'Data - Internal'!$A$2:$A$91,N$4,'Data - Internal'!$B$2:$B$91,$B13)</f>
        <v>-5569.57</v>
      </c>
      <c r="O13" s="67">
        <f>SUMIFS('Data - Internal'!$D$2:$D$91,'Data - Internal'!$A$2:$A$91,O$4,'Data - Internal'!$B$2:$B$91,$B13)</f>
        <v>-170.58</v>
      </c>
      <c r="P13" s="67">
        <f>SUMIFS('Data - Internal'!$D$2:$D$91,'Data - Internal'!$A$2:$A$91,P$4,'Data - Internal'!$B$2:$B$91,$B13)</f>
        <v>-5016.05</v>
      </c>
      <c r="Q13" s="67">
        <f>SUMIFS('Data - Internal'!$D$2:$D$91,'Data - Internal'!$A$2:$A$91,Q$4,'Data - Internal'!$B$2:$B$91,$B13)</f>
        <v>0</v>
      </c>
      <c r="R13" s="67">
        <f>SUM(F13:Q13)</f>
        <v>-929361.3600000001</v>
      </c>
      <c r="S13" s="67">
        <f>SUMIFS('Data - Stripe'!F:F,'Data - Stripe'!A:A,'Recon - Stripe vs Internal'!B13)</f>
        <v>-1505480.43</v>
      </c>
      <c r="T13" s="67">
        <f>R13-S13</f>
        <v>576119.06999999983</v>
      </c>
      <c r="U13" s="34" t="str">
        <f>IF(ABS(T13)&lt;1,"✓","✗")</f>
        <v>✗</v>
      </c>
      <c r="V13" s="31" t="s">
        <v>124</v>
      </c>
      <c r="W13" s="24" t="s">
        <v>93</v>
      </c>
    </row>
    <row r="14" spans="1:23" x14ac:dyDescent="0.15">
      <c r="A14" s="35" t="s">
        <v>77</v>
      </c>
      <c r="B14" s="35" t="s">
        <v>9</v>
      </c>
      <c r="C14" s="36" t="s">
        <v>70</v>
      </c>
      <c r="D14" s="36">
        <v>3.1</v>
      </c>
      <c r="E14" s="37">
        <f>'Data - Stripe'!H9</f>
        <v>0</v>
      </c>
      <c r="F14" s="68">
        <f>SUMIFS('Data - Internal'!$D$2:$D$91,'Data - Internal'!$A$2:$A$91,F$4,'Data - Internal'!$B$2:$B$91,$B14)</f>
        <v>-17389232.100000001</v>
      </c>
      <c r="G14" s="68">
        <f>SUMIFS('Data - Internal'!$D$2:$D$91,'Data - Internal'!$A$2:$A$91,G$4,'Data - Internal'!$B$2:$B$91,$B14)</f>
        <v>0</v>
      </c>
      <c r="H14" s="68">
        <f>SUMIFS('Data - Internal'!$D$2:$D$91,'Data - Internal'!$A$2:$A$91,H$4,'Data - Internal'!$B$2:$B$91,$B14)</f>
        <v>-8444835.1500000004</v>
      </c>
      <c r="I14" s="68">
        <f>SUMIFS('Data - Internal'!$D$2:$D$91,'Data - Internal'!$A$2:$A$91,I$4,'Data - Internal'!$B$2:$B$91,$B14)</f>
        <v>-23256.959999999999</v>
      </c>
      <c r="J14" s="68">
        <f>SUMIFS('Data - Internal'!$D$2:$D$91,'Data - Internal'!$A$2:$A$91,J$4,'Data - Internal'!$B$2:$B$91,$B14)</f>
        <v>0</v>
      </c>
      <c r="K14" s="68">
        <f>SUMIFS('Data - Internal'!$D$2:$D$91,'Data - Internal'!$A$2:$A$91,K$4,'Data - Internal'!$B$2:$B$91,$B14)</f>
        <v>0</v>
      </c>
      <c r="L14" s="68">
        <f>SUMIFS('Data - Internal'!$D$2:$D$91,'Data - Internal'!$A$2:$A$91,L$4,'Data - Internal'!$B$2:$B$91,$B14)</f>
        <v>0</v>
      </c>
      <c r="M14" s="68">
        <f>SUMIFS('Data - Internal'!$D$2:$D$91,'Data - Internal'!$A$2:$A$91,M$4,'Data - Internal'!$B$2:$B$91,$B14)</f>
        <v>-913610914.32000005</v>
      </c>
      <c r="N14" s="68">
        <f>SUMIFS('Data - Internal'!$D$2:$D$91,'Data - Internal'!$A$2:$A$91,N$4,'Data - Internal'!$B$2:$B$91,$B14)</f>
        <v>0</v>
      </c>
      <c r="O14" s="68">
        <f>SUMIFS('Data - Internal'!$D$2:$D$91,'Data - Internal'!$A$2:$A$91,O$4,'Data - Internal'!$B$2:$B$91,$B14)</f>
        <v>0</v>
      </c>
      <c r="P14" s="68">
        <f>SUMIFS('Data - Internal'!$D$2:$D$91,'Data - Internal'!$A$2:$A$91,P$4,'Data - Internal'!$B$2:$B$91,$B14)</f>
        <v>0</v>
      </c>
      <c r="Q14" s="68">
        <f>SUMIFS('Data - Internal'!$D$2:$D$91,'Data - Internal'!$A$2:$A$91,Q$4,'Data - Internal'!$B$2:$B$91,$B14)</f>
        <v>0</v>
      </c>
      <c r="R14" s="68">
        <f>SUM(F14:Q14)</f>
        <v>-939468238.53000009</v>
      </c>
      <c r="S14" s="68">
        <f>SUMIFS('Data - Stripe'!F:F,'Data - Stripe'!A:A,'Recon - Stripe vs Internal'!B14)</f>
        <v>-939468238.52999997</v>
      </c>
      <c r="T14" s="68">
        <f>R14-S14</f>
        <v>0</v>
      </c>
      <c r="U14" s="38" t="str">
        <f>IF(ABS(T14)&lt;1,"✓","✗")</f>
        <v>✓</v>
      </c>
      <c r="V14" s="35" t="str">
        <f>IF(U14="✓","",IF(R14=0,"Not in Internal",IF(S14=0,"Not in Stripe",IF(ABS(T14)&lt;ABS(S14)*0.001,"Rounding",IF(T14&gt;0,"Internal over Stripe","Internal under Stripe")))))</f>
        <v/>
      </c>
      <c r="W14" s="24"/>
    </row>
    <row r="15" spans="1:23" x14ac:dyDescent="0.15">
      <c r="A15" s="35" t="s">
        <v>77</v>
      </c>
      <c r="B15" s="35" t="s">
        <v>10</v>
      </c>
      <c r="C15" s="36" t="s">
        <v>70</v>
      </c>
      <c r="D15" s="36">
        <v>3.2</v>
      </c>
      <c r="E15" s="37">
        <f>'Data - Stripe'!H10</f>
        <v>0</v>
      </c>
      <c r="F15" s="68">
        <f>SUMIFS('Data - Internal'!$D$2:$D$91,'Data - Internal'!$A$2:$A$91,F$4,'Data - Internal'!$B$2:$B$91,$B15)</f>
        <v>119440.23</v>
      </c>
      <c r="G15" s="68">
        <f>SUMIFS('Data - Internal'!$D$2:$D$91,'Data - Internal'!$A$2:$A$91,G$4,'Data - Internal'!$B$2:$B$91,$B15)</f>
        <v>0</v>
      </c>
      <c r="H15" s="68">
        <f>SUMIFS('Data - Internal'!$D$2:$D$91,'Data - Internal'!$A$2:$A$91,H$4,'Data - Internal'!$B$2:$B$91,$B15)</f>
        <v>89879.46</v>
      </c>
      <c r="I15" s="68">
        <f>SUMIFS('Data - Internal'!$D$2:$D$91,'Data - Internal'!$A$2:$A$91,I$4,'Data - Internal'!$B$2:$B$91,$B15)</f>
        <v>0</v>
      </c>
      <c r="J15" s="68">
        <f>SUMIFS('Data - Internal'!$D$2:$D$91,'Data - Internal'!$A$2:$A$91,J$4,'Data - Internal'!$B$2:$B$91,$B15)</f>
        <v>0</v>
      </c>
      <c r="K15" s="68">
        <f>SUMIFS('Data - Internal'!$D$2:$D$91,'Data - Internal'!$A$2:$A$91,K$4,'Data - Internal'!$B$2:$B$91,$B15)</f>
        <v>0</v>
      </c>
      <c r="L15" s="68">
        <f>SUMIFS('Data - Internal'!$D$2:$D$91,'Data - Internal'!$A$2:$A$91,L$4,'Data - Internal'!$B$2:$B$91,$B15)</f>
        <v>0</v>
      </c>
      <c r="M15" s="68">
        <f>SUMIFS('Data - Internal'!$D$2:$D$91,'Data - Internal'!$A$2:$A$91,M$4,'Data - Internal'!$B$2:$B$91,$B15)</f>
        <v>3990660.99</v>
      </c>
      <c r="N15" s="68">
        <f>SUMIFS('Data - Internal'!$D$2:$D$91,'Data - Internal'!$A$2:$A$91,N$4,'Data - Internal'!$B$2:$B$91,$B15)</f>
        <v>0</v>
      </c>
      <c r="O15" s="68">
        <f>SUMIFS('Data - Internal'!$D$2:$D$91,'Data - Internal'!$A$2:$A$91,O$4,'Data - Internal'!$B$2:$B$91,$B15)</f>
        <v>0</v>
      </c>
      <c r="P15" s="68">
        <f>SUMIFS('Data - Internal'!$D$2:$D$91,'Data - Internal'!$A$2:$A$91,P$4,'Data - Internal'!$B$2:$B$91,$B15)</f>
        <v>0</v>
      </c>
      <c r="Q15" s="68">
        <f>SUMIFS('Data - Internal'!$D$2:$D$91,'Data - Internal'!$A$2:$A$91,Q$4,'Data - Internal'!$B$2:$B$91,$B15)</f>
        <v>0</v>
      </c>
      <c r="R15" s="68">
        <f>SUM(F15:Q15)</f>
        <v>4199980.6800000006</v>
      </c>
      <c r="S15" s="68">
        <f>SUMIFS('Data - Stripe'!F:F,'Data - Stripe'!A:A,'Recon - Stripe vs Internal'!B15)</f>
        <v>4199980.68</v>
      </c>
      <c r="T15" s="68">
        <f>R15-S15</f>
        <v>0</v>
      </c>
      <c r="U15" s="38" t="str">
        <f>IF(ABS(T15)&lt;1,"✓","✗")</f>
        <v>✓</v>
      </c>
      <c r="V15" s="35" t="str">
        <f>IF(U15="✓","",IF(R15=0,"Not in Internal",IF(S15=0,"Not in Stripe",IF(ABS(T15)&lt;ABS(S15)*0.001,"Rounding",IF(T15&gt;0,"Internal over Stripe","Internal under Stripe")))))</f>
        <v/>
      </c>
      <c r="W15" s="24"/>
    </row>
    <row r="16" spans="1:23" x14ac:dyDescent="0.15">
      <c r="A16" s="35" t="s">
        <v>77</v>
      </c>
      <c r="B16" s="35" t="s">
        <v>17</v>
      </c>
      <c r="C16" s="36" t="s">
        <v>70</v>
      </c>
      <c r="D16" s="36">
        <v>3.3</v>
      </c>
      <c r="E16" s="37">
        <f>'Data - Stripe'!H13</f>
        <v>0</v>
      </c>
      <c r="F16" s="68">
        <f>SUMIFS('Data - Internal'!$D$2:$D$91,'Data - Internal'!$A$2:$A$91,F$4,'Data - Internal'!$B$2:$B$91,$B16)</f>
        <v>0</v>
      </c>
      <c r="G16" s="68">
        <f>SUMIFS('Data - Internal'!$D$2:$D$91,'Data - Internal'!$A$2:$A$91,G$4,'Data - Internal'!$B$2:$B$91,$B16)</f>
        <v>0</v>
      </c>
      <c r="H16" s="68">
        <f>SUMIFS('Data - Internal'!$D$2:$D$91,'Data - Internal'!$A$2:$A$91,H$4,'Data - Internal'!$B$2:$B$91,$B16)</f>
        <v>0</v>
      </c>
      <c r="I16" s="68">
        <f>SUMIFS('Data - Internal'!$D$2:$D$91,'Data - Internal'!$A$2:$A$91,I$4,'Data - Internal'!$B$2:$B$91,$B16)</f>
        <v>0</v>
      </c>
      <c r="J16" s="68">
        <f>SUMIFS('Data - Internal'!$D$2:$D$91,'Data - Internal'!$A$2:$A$91,J$4,'Data - Internal'!$B$2:$B$91,$B16)</f>
        <v>0</v>
      </c>
      <c r="K16" s="68">
        <f>SUMIFS('Data - Internal'!$D$2:$D$91,'Data - Internal'!$A$2:$A$91,K$4,'Data - Internal'!$B$2:$B$91,$B16)</f>
        <v>-526651.5</v>
      </c>
      <c r="L16" s="68">
        <f>SUMIFS('Data - Internal'!$D$2:$D$91,'Data - Internal'!$A$2:$A$91,L$4,'Data - Internal'!$B$2:$B$91,$B16)</f>
        <v>0</v>
      </c>
      <c r="M16" s="68">
        <f>SUMIFS('Data - Internal'!$D$2:$D$91,'Data - Internal'!$A$2:$A$91,M$4,'Data - Internal'!$B$2:$B$91,$B16)</f>
        <v>0</v>
      </c>
      <c r="N16" s="68">
        <f>SUMIFS('Data - Internal'!$D$2:$D$91,'Data - Internal'!$A$2:$A$91,N$4,'Data - Internal'!$B$2:$B$91,$B16)</f>
        <v>0</v>
      </c>
      <c r="O16" s="68">
        <f>SUMIFS('Data - Internal'!$D$2:$D$91,'Data - Internal'!$A$2:$A$91,O$4,'Data - Internal'!$B$2:$B$91,$B16)</f>
        <v>0</v>
      </c>
      <c r="P16" s="68">
        <f>SUMIFS('Data - Internal'!$D$2:$D$91,'Data - Internal'!$A$2:$A$91,P$4,'Data - Internal'!$B$2:$B$91,$B16)</f>
        <v>0</v>
      </c>
      <c r="Q16" s="68">
        <f>SUMIFS('Data - Internal'!$D$2:$D$91,'Data - Internal'!$A$2:$A$91,Q$4,'Data - Internal'!$B$2:$B$91,$B16)</f>
        <v>0</v>
      </c>
      <c r="R16" s="68">
        <f>SUM(F16:Q16)</f>
        <v>-526651.5</v>
      </c>
      <c r="S16" s="68">
        <f>SUMIFS('Data - Stripe'!F:F,'Data - Stripe'!A:A,'Recon - Stripe vs Internal'!B16)</f>
        <v>-526651.5</v>
      </c>
      <c r="T16" s="68">
        <f>R16-S16</f>
        <v>0</v>
      </c>
      <c r="U16" s="38" t="str">
        <f>IF(ABS(T16)&lt;1,"✓","✗")</f>
        <v>✓</v>
      </c>
      <c r="V16" s="35" t="str">
        <f>IF(U16="✓","",IF(R16=0,"Not in Internal",IF(S16=0,"Not in Stripe",IF(ABS(T16)&lt;ABS(S16)*0.001,"Rounding",IF(T16&gt;0,"Internal over Stripe","Internal under Stripe")))))</f>
        <v/>
      </c>
      <c r="W16" s="24"/>
    </row>
    <row r="17" spans="1:23" x14ac:dyDescent="0.15">
      <c r="A17" s="39" t="s">
        <v>60</v>
      </c>
      <c r="B17" s="39" t="s">
        <v>6</v>
      </c>
      <c r="C17" s="40" t="s">
        <v>70</v>
      </c>
      <c r="D17" s="40">
        <v>4.0999999999999996</v>
      </c>
      <c r="E17" s="41">
        <f>'Data - Stripe'!H11</f>
        <v>0</v>
      </c>
      <c r="F17" s="69">
        <f>SUMIFS('Data - Internal'!$D$2:$D$91,'Data - Internal'!$A$2:$A$91,F$4,'Data - Internal'!$B$2:$B$91,$B17)</f>
        <v>1060268.58</v>
      </c>
      <c r="G17" s="69">
        <f>SUMIFS('Data - Internal'!$D$2:$D$91,'Data - Internal'!$A$2:$A$91,G$4,'Data - Internal'!$B$2:$B$91,$B17)</f>
        <v>779402.1</v>
      </c>
      <c r="H17" s="69">
        <f>SUMIFS('Data - Internal'!$D$2:$D$91,'Data - Internal'!$A$2:$A$91,H$4,'Data - Internal'!$B$2:$B$91,$B17)</f>
        <v>266280.06</v>
      </c>
      <c r="I17" s="69">
        <f>SUMIFS('Data - Internal'!$D$2:$D$91,'Data - Internal'!$A$2:$A$91,I$4,'Data - Internal'!$B$2:$B$91,$B17)</f>
        <v>0</v>
      </c>
      <c r="J17" s="69">
        <f>SUMIFS('Data - Internal'!$D$2:$D$91,'Data - Internal'!$A$2:$A$91,J$4,'Data - Internal'!$B$2:$B$91,$B17)</f>
        <v>0</v>
      </c>
      <c r="K17" s="69">
        <f>SUMIFS('Data - Internal'!$D$2:$D$91,'Data - Internal'!$A$2:$A$91,K$4,'Data - Internal'!$B$2:$B$91,$B17)</f>
        <v>0</v>
      </c>
      <c r="L17" s="69">
        <f>SUMIFS('Data - Internal'!$D$2:$D$91,'Data - Internal'!$A$2:$A$91,L$4,'Data - Internal'!$B$2:$B$91,$B17)</f>
        <v>0</v>
      </c>
      <c r="M17" s="69">
        <f>SUMIFS('Data - Internal'!$D$2:$D$91,'Data - Internal'!$A$2:$A$91,M$4,'Data - Internal'!$B$2:$B$91,$B17)</f>
        <v>26207053.289999999</v>
      </c>
      <c r="N17" s="69">
        <f>SUMIFS('Data - Internal'!$D$2:$D$91,'Data - Internal'!$A$2:$A$91,N$4,'Data - Internal'!$B$2:$B$91,$B17)</f>
        <v>0</v>
      </c>
      <c r="O17" s="69">
        <f>SUMIFS('Data - Internal'!$D$2:$D$91,'Data - Internal'!$A$2:$A$91,O$4,'Data - Internal'!$B$2:$B$91,$B17)</f>
        <v>0</v>
      </c>
      <c r="P17" s="69">
        <f>SUMIFS('Data - Internal'!$D$2:$D$91,'Data - Internal'!$A$2:$A$91,P$4,'Data - Internal'!$B$2:$B$91,$B17)</f>
        <v>0</v>
      </c>
      <c r="Q17" s="69">
        <f>SUMIFS('Data - Internal'!$D$2:$D$91,'Data - Internal'!$A$2:$A$91,Q$4,'Data - Internal'!$B$2:$B$91,$B17)</f>
        <v>0</v>
      </c>
      <c r="R17" s="69">
        <f>SUM(F17:Q17)</f>
        <v>28313004.030000001</v>
      </c>
      <c r="S17" s="69">
        <f>SUMIFS('Data - Stripe'!F:F,'Data - Stripe'!A:A,'Recon - Stripe vs Internal'!B17)</f>
        <v>28313004.030000001</v>
      </c>
      <c r="T17" s="69">
        <f>R17-S17</f>
        <v>0</v>
      </c>
      <c r="U17" s="42" t="str">
        <f>IF(ABS(T17)&lt;1,"✓","✗")</f>
        <v>✓</v>
      </c>
      <c r="V17" s="39" t="str">
        <f>IF(U17="✓","",IF(R17=0,"Not in Internal",IF(S17=0,"Not in Stripe",IF(ABS(T17)&lt;ABS(S17)*0.001,"Rounding",IF(T17&gt;0,"Internal over Stripe","Internal under Stripe")))))</f>
        <v/>
      </c>
      <c r="W17" s="24"/>
    </row>
    <row r="18" spans="1:23" x14ac:dyDescent="0.15">
      <c r="A18" s="39" t="s">
        <v>60</v>
      </c>
      <c r="B18" s="39" t="s">
        <v>7</v>
      </c>
      <c r="C18" s="40" t="s">
        <v>70</v>
      </c>
      <c r="D18" s="40">
        <v>4.2</v>
      </c>
      <c r="E18" s="41">
        <f>'Data - Stripe'!H12</f>
        <v>0</v>
      </c>
      <c r="F18" s="69">
        <f>SUMIFS('Data - Internal'!$D$2:$D$91,'Data - Internal'!$A$2:$A$91,F$4,'Data - Internal'!$B$2:$B$91,$B18)</f>
        <v>-6760.26</v>
      </c>
      <c r="G18" s="69">
        <f>SUMIFS('Data - Internal'!$D$2:$D$91,'Data - Internal'!$A$2:$A$91,G$4,'Data - Internal'!$B$2:$B$91,$B18)</f>
        <v>-5763.99</v>
      </c>
      <c r="H18" s="69">
        <f>SUMIFS('Data - Internal'!$D$2:$D$91,'Data - Internal'!$A$2:$A$91,H$4,'Data - Internal'!$B$2:$B$91,$B18)</f>
        <v>-2591.67</v>
      </c>
      <c r="I18" s="69">
        <f>SUMIFS('Data - Internal'!$D$2:$D$91,'Data - Internal'!$A$2:$A$91,I$4,'Data - Internal'!$B$2:$B$91,$B18)</f>
        <v>0</v>
      </c>
      <c r="J18" s="69">
        <f>SUMIFS('Data - Internal'!$D$2:$D$91,'Data - Internal'!$A$2:$A$91,J$4,'Data - Internal'!$B$2:$B$91,$B18)</f>
        <v>0</v>
      </c>
      <c r="K18" s="69">
        <f>SUMIFS('Data - Internal'!$D$2:$D$91,'Data - Internal'!$A$2:$A$91,K$4,'Data - Internal'!$B$2:$B$91,$B18)</f>
        <v>0</v>
      </c>
      <c r="L18" s="69">
        <f>SUMIFS('Data - Internal'!$D$2:$D$91,'Data - Internal'!$A$2:$A$91,L$4,'Data - Internal'!$B$2:$B$91,$B18)</f>
        <v>0</v>
      </c>
      <c r="M18" s="69">
        <f>SUMIFS('Data - Internal'!$D$2:$D$91,'Data - Internal'!$A$2:$A$91,M$4,'Data - Internal'!$B$2:$B$91,$B18)</f>
        <v>-111908.52</v>
      </c>
      <c r="N18" s="69">
        <f>SUMIFS('Data - Internal'!$D$2:$D$91,'Data - Internal'!$A$2:$A$91,N$4,'Data - Internal'!$B$2:$B$91,$B18)</f>
        <v>0</v>
      </c>
      <c r="O18" s="69">
        <f>SUMIFS('Data - Internal'!$D$2:$D$91,'Data - Internal'!$A$2:$A$91,O$4,'Data - Internal'!$B$2:$B$91,$B18)</f>
        <v>0</v>
      </c>
      <c r="P18" s="69">
        <f>SUMIFS('Data - Internal'!$D$2:$D$91,'Data - Internal'!$A$2:$A$91,P$4,'Data - Internal'!$B$2:$B$91,$B18)</f>
        <v>0</v>
      </c>
      <c r="Q18" s="69">
        <f>SUMIFS('Data - Internal'!$D$2:$D$91,'Data - Internal'!$A$2:$A$91,Q$4,'Data - Internal'!$B$2:$B$91,$B18)</f>
        <v>0</v>
      </c>
      <c r="R18" s="69">
        <f>SUM(F18:Q18)</f>
        <v>-127024.44</v>
      </c>
      <c r="S18" s="69">
        <f>SUMIFS('Data - Stripe'!F:F,'Data - Stripe'!A:A,'Recon - Stripe vs Internal'!B18)</f>
        <v>-127024.44</v>
      </c>
      <c r="T18" s="69">
        <f>R18-S18</f>
        <v>0</v>
      </c>
      <c r="U18" s="42" t="str">
        <f>IF(ABS(T18)&lt;1,"✓","✗")</f>
        <v>✓</v>
      </c>
      <c r="V18" s="39" t="str">
        <f>IF(U18="✓","",IF(R18=0,"Not in Internal",IF(S18=0,"Not in Stripe",IF(ABS(T18)&lt;ABS(S18)*0.001,"Rounding",IF(T18&gt;0,"Internal over Stripe","Internal under Stripe")))))</f>
        <v/>
      </c>
      <c r="W18" s="24"/>
    </row>
    <row r="19" spans="1:23" x14ac:dyDescent="0.15">
      <c r="A19" s="39" t="s">
        <v>60</v>
      </c>
      <c r="B19" s="39" t="s">
        <v>42</v>
      </c>
      <c r="C19" s="40" t="s">
        <v>70</v>
      </c>
      <c r="D19" s="40">
        <v>4.3</v>
      </c>
      <c r="E19" s="41">
        <f>'Data - Stripe'!H17</f>
        <v>0</v>
      </c>
      <c r="F19" s="69">
        <f>SUMIFS('Data - Internal'!$D$2:$D$91,'Data - Internal'!$A$2:$A$91,F$4,'Data - Internal'!$B$2:$B$91,$B19)</f>
        <v>0</v>
      </c>
      <c r="G19" s="69">
        <f>SUMIFS('Data - Internal'!$D$2:$D$91,'Data - Internal'!$A$2:$A$91,G$4,'Data - Internal'!$B$2:$B$91,$B19)</f>
        <v>0</v>
      </c>
      <c r="H19" s="69">
        <f>SUMIFS('Data - Internal'!$D$2:$D$91,'Data - Internal'!$A$2:$A$91,H$4,'Data - Internal'!$B$2:$B$91,$B19)</f>
        <v>0</v>
      </c>
      <c r="I19" s="69">
        <f>SUMIFS('Data - Internal'!$D$2:$D$91,'Data - Internal'!$A$2:$A$91,I$4,'Data - Internal'!$B$2:$B$91,$B19)</f>
        <v>0</v>
      </c>
      <c r="J19" s="69">
        <f>SUMIFS('Data - Internal'!$D$2:$D$91,'Data - Internal'!$A$2:$A$91,J$4,'Data - Internal'!$B$2:$B$91,$B19)</f>
        <v>0</v>
      </c>
      <c r="K19" s="69">
        <f>SUMIFS('Data - Internal'!$D$2:$D$91,'Data - Internal'!$A$2:$A$91,K$4,'Data - Internal'!$B$2:$B$91,$B19)</f>
        <v>0</v>
      </c>
      <c r="L19" s="69">
        <f>SUMIFS('Data - Internal'!$D$2:$D$91,'Data - Internal'!$A$2:$A$91,L$4,'Data - Internal'!$B$2:$B$91,$B19)</f>
        <v>0</v>
      </c>
      <c r="M19" s="69">
        <f>SUMIFS('Data - Internal'!$D$2:$D$91,'Data - Internal'!$A$2:$A$91,M$4,'Data - Internal'!$B$2:$B$91,$B19)</f>
        <v>0</v>
      </c>
      <c r="N19" s="69">
        <f>SUMIFS('Data - Internal'!$D$2:$D$91,'Data - Internal'!$A$2:$A$91,N$4,'Data - Internal'!$B$2:$B$91,$B19)</f>
        <v>0</v>
      </c>
      <c r="O19" s="69">
        <f>SUMIFS('Data - Internal'!$D$2:$D$91,'Data - Internal'!$A$2:$A$91,O$4,'Data - Internal'!$B$2:$B$91,$B19)</f>
        <v>0</v>
      </c>
      <c r="P19" s="69">
        <f>SUMIFS('Data - Internal'!$D$2:$D$91,'Data - Internal'!$A$2:$A$91,P$4,'Data - Internal'!$B$2:$B$91,$B19)</f>
        <v>0</v>
      </c>
      <c r="Q19" s="69">
        <f>SUMIFS('Data - Internal'!$D$2:$D$91,'Data - Internal'!$A$2:$A$91,Q$4,'Data - Internal'!$B$2:$B$91,$B19)</f>
        <v>0</v>
      </c>
      <c r="R19" s="69">
        <f>SUM(F19:Q19)</f>
        <v>0</v>
      </c>
      <c r="S19" s="69">
        <f>SUMIFS('Data - Stripe'!F:F,'Data - Stripe'!A:A,'Recon - Stripe vs Internal'!B19)</f>
        <v>440487.32999999996</v>
      </c>
      <c r="T19" s="69">
        <f>R19-S19</f>
        <v>-440487.32999999996</v>
      </c>
      <c r="U19" s="42" t="str">
        <f>IF(ABS(T19)&lt;1,"✓","✗")</f>
        <v>✗</v>
      </c>
      <c r="V19" s="39" t="str">
        <f>IF(U19="✓","",IF(R19=0,"Not in Internal",IF(S19=0,"Not in Stripe",IF(ABS(T19)&lt;ABS(S19)*0.001,"Rounding",IF(T19&gt;0,"Internal over Stripe","Internal under Stripe")))))</f>
        <v>Not in Internal</v>
      </c>
      <c r="W19" s="24" t="s">
        <v>130</v>
      </c>
    </row>
    <row r="20" spans="1:23" x14ac:dyDescent="0.15">
      <c r="A20" s="43" t="s">
        <v>78</v>
      </c>
      <c r="B20" s="43" t="s">
        <v>4</v>
      </c>
      <c r="C20" s="44" t="s">
        <v>79</v>
      </c>
      <c r="D20" s="44">
        <v>5.0999999999999996</v>
      </c>
      <c r="E20" s="45">
        <f>'Data - Stripe'!H7</f>
        <v>0</v>
      </c>
      <c r="F20" s="70">
        <f>SUMIFS('Data - Internal'!$D$2:$D$91,'Data - Internal'!$A$2:$A$91,F$4,'Data - Internal'!$B$2:$B$91,$B20)</f>
        <v>0</v>
      </c>
      <c r="G20" s="70">
        <f>SUMIFS('Data - Internal'!$D$2:$D$91,'Data - Internal'!$A$2:$A$91,G$4,'Data - Internal'!$B$2:$B$91,$B20)</f>
        <v>0</v>
      </c>
      <c r="H20" s="70">
        <f>SUMIFS('Data - Internal'!$D$2:$D$91,'Data - Internal'!$A$2:$A$91,H$4,'Data - Internal'!$B$2:$B$91,$B20)</f>
        <v>0</v>
      </c>
      <c r="I20" s="70">
        <f>SUMIFS('Data - Internal'!$D$2:$D$91,'Data - Internal'!$A$2:$A$91,I$4,'Data - Internal'!$B$2:$B$91,$B20)</f>
        <v>0</v>
      </c>
      <c r="J20" s="70">
        <f>SUMIFS('Data - Internal'!$D$2:$D$91,'Data - Internal'!$A$2:$A$91,J$4,'Data - Internal'!$B$2:$B$91,$B20)</f>
        <v>0</v>
      </c>
      <c r="K20" s="70">
        <f>SUMIFS('Data - Internal'!$D$2:$D$91,'Data - Internal'!$A$2:$A$91,K$4,'Data - Internal'!$B$2:$B$91,$B20)</f>
        <v>0</v>
      </c>
      <c r="L20" s="70">
        <f>SUMIFS('Data - Internal'!$D$2:$D$91,'Data - Internal'!$A$2:$A$91,L$4,'Data - Internal'!$B$2:$B$91,$B20)</f>
        <v>0</v>
      </c>
      <c r="M20" s="70">
        <f>SUMIFS('Data - Internal'!$D$2:$D$91,'Data - Internal'!$A$2:$A$91,M$4,'Data - Internal'!$B$2:$B$91,$B20)</f>
        <v>0</v>
      </c>
      <c r="N20" s="70">
        <f>SUMIFS('Data - Internal'!$D$2:$D$91,'Data - Internal'!$A$2:$A$91,N$4,'Data - Internal'!$B$2:$B$91,$B20)</f>
        <v>0</v>
      </c>
      <c r="O20" s="70">
        <f>SUMIFS('Data - Internal'!$D$2:$D$91,'Data - Internal'!$A$2:$A$91,O$4,'Data - Internal'!$B$2:$B$91,$B20)</f>
        <v>0</v>
      </c>
      <c r="P20" s="70">
        <f>SUMIFS('Data - Internal'!$D$2:$D$91,'Data - Internal'!$A$2:$A$91,P$4,'Data - Internal'!$B$2:$B$91,$B20)</f>
        <v>0</v>
      </c>
      <c r="Q20" s="70">
        <f>SUMIFS('Data - Internal'!$D$2:$D$91,'Data - Internal'!$A$2:$A$91,Q$4,'Data - Internal'!$B$2:$B$91,$B20)</f>
        <v>0</v>
      </c>
      <c r="R20" s="70">
        <f>SUM(F20:Q20)</f>
        <v>0</v>
      </c>
      <c r="S20" s="70">
        <f>SUMIFS('Data - Stripe'!F:F,'Data - Stripe'!A:A,'Recon - Stripe vs Internal'!B20)</f>
        <v>-657203.10000000009</v>
      </c>
      <c r="T20" s="70">
        <f>R20-S20</f>
        <v>657203.10000000009</v>
      </c>
      <c r="U20" s="46" t="str">
        <f>IF(ABS(T20)&lt;1,"✓","✗")</f>
        <v>✗</v>
      </c>
      <c r="V20" s="43" t="s">
        <v>127</v>
      </c>
      <c r="W20" s="24" t="s">
        <v>94</v>
      </c>
    </row>
    <row r="21" spans="1:23" x14ac:dyDescent="0.15">
      <c r="A21" s="43" t="s">
        <v>78</v>
      </c>
      <c r="B21" s="43" t="s">
        <v>5</v>
      </c>
      <c r="C21" s="44" t="s">
        <v>79</v>
      </c>
      <c r="D21" s="44">
        <v>5.2</v>
      </c>
      <c r="E21" s="45">
        <f>'Data - Stripe'!H8</f>
        <v>0</v>
      </c>
      <c r="F21" s="70">
        <f>SUMIFS('Data - Internal'!$D$2:$D$91,'Data - Internal'!$A$2:$A$91,F$4,'Data - Internal'!$B$2:$B$91,$B21)</f>
        <v>0</v>
      </c>
      <c r="G21" s="70">
        <f>SUMIFS('Data - Internal'!$D$2:$D$91,'Data - Internal'!$A$2:$A$91,G$4,'Data - Internal'!$B$2:$B$91,$B21)</f>
        <v>0</v>
      </c>
      <c r="H21" s="70">
        <f>SUMIFS('Data - Internal'!$D$2:$D$91,'Data - Internal'!$A$2:$A$91,H$4,'Data - Internal'!$B$2:$B$91,$B21)</f>
        <v>0</v>
      </c>
      <c r="I21" s="70">
        <f>SUMIFS('Data - Internal'!$D$2:$D$91,'Data - Internal'!$A$2:$A$91,I$4,'Data - Internal'!$B$2:$B$91,$B21)</f>
        <v>0</v>
      </c>
      <c r="J21" s="70">
        <f>SUMIFS('Data - Internal'!$D$2:$D$91,'Data - Internal'!$A$2:$A$91,J$4,'Data - Internal'!$B$2:$B$91,$B21)</f>
        <v>0</v>
      </c>
      <c r="K21" s="70">
        <f>SUMIFS('Data - Internal'!$D$2:$D$91,'Data - Internal'!$A$2:$A$91,K$4,'Data - Internal'!$B$2:$B$91,$B21)</f>
        <v>0</v>
      </c>
      <c r="L21" s="70">
        <f>SUMIFS('Data - Internal'!$D$2:$D$91,'Data - Internal'!$A$2:$A$91,L$4,'Data - Internal'!$B$2:$B$91,$B21)</f>
        <v>0</v>
      </c>
      <c r="M21" s="70">
        <f>SUMIFS('Data - Internal'!$D$2:$D$91,'Data - Internal'!$A$2:$A$91,M$4,'Data - Internal'!$B$2:$B$91,$B21)</f>
        <v>0</v>
      </c>
      <c r="N21" s="70">
        <f>SUMIFS('Data - Internal'!$D$2:$D$91,'Data - Internal'!$A$2:$A$91,N$4,'Data - Internal'!$B$2:$B$91,$B21)</f>
        <v>0</v>
      </c>
      <c r="O21" s="70">
        <f>SUMIFS('Data - Internal'!$D$2:$D$91,'Data - Internal'!$A$2:$A$91,O$4,'Data - Internal'!$B$2:$B$91,$B21)</f>
        <v>0</v>
      </c>
      <c r="P21" s="70">
        <f>SUMIFS('Data - Internal'!$D$2:$D$91,'Data - Internal'!$A$2:$A$91,P$4,'Data - Internal'!$B$2:$B$91,$B21)</f>
        <v>0</v>
      </c>
      <c r="Q21" s="70">
        <f>SUMIFS('Data - Internal'!$D$2:$D$91,'Data - Internal'!$A$2:$A$91,Q$4,'Data - Internal'!$B$2:$B$91,$B21)</f>
        <v>0</v>
      </c>
      <c r="R21" s="70">
        <f>SUM(F21:Q21)</f>
        <v>0</v>
      </c>
      <c r="S21" s="70">
        <f>SUMIFS('Data - Stripe'!F:F,'Data - Stripe'!A:A,'Recon - Stripe vs Internal'!B21)</f>
        <v>177059.97</v>
      </c>
      <c r="T21" s="70">
        <f>R21-S21</f>
        <v>-177059.97</v>
      </c>
      <c r="U21" s="46" t="str">
        <f>IF(ABS(T21)&lt;1,"✓","✗")</f>
        <v>✗</v>
      </c>
      <c r="V21" s="43" t="s">
        <v>128</v>
      </c>
      <c r="W21" s="24" t="s">
        <v>95</v>
      </c>
    </row>
    <row r="22" spans="1:23" x14ac:dyDescent="0.15">
      <c r="A22" s="47" t="s">
        <v>80</v>
      </c>
      <c r="B22" s="47" t="s">
        <v>31</v>
      </c>
      <c r="C22" s="48" t="s">
        <v>79</v>
      </c>
      <c r="D22" s="48">
        <v>6.1</v>
      </c>
      <c r="E22" s="49">
        <f>'Data - Stripe'!H16</f>
        <v>0</v>
      </c>
      <c r="F22" s="71">
        <f>SUMIFS('Data - Internal'!$D$2:$D$91,'Data - Internal'!$A$2:$A$91,F$4,'Data - Internal'!$B$2:$B$91,$B22)</f>
        <v>0</v>
      </c>
      <c r="G22" s="71">
        <f>SUMIFS('Data - Internal'!$D$2:$D$91,'Data - Internal'!$A$2:$A$91,G$4,'Data - Internal'!$B$2:$B$91,$B22)</f>
        <v>0</v>
      </c>
      <c r="H22" s="71">
        <f>SUMIFS('Data - Internal'!$D$2:$D$91,'Data - Internal'!$A$2:$A$91,H$4,'Data - Internal'!$B$2:$B$91,$B22)</f>
        <v>0</v>
      </c>
      <c r="I22" s="71">
        <f>SUMIFS('Data - Internal'!$D$2:$D$91,'Data - Internal'!$A$2:$A$91,I$4,'Data - Internal'!$B$2:$B$91,$B22)</f>
        <v>0</v>
      </c>
      <c r="J22" s="71">
        <f>SUMIFS('Data - Internal'!$D$2:$D$91,'Data - Internal'!$A$2:$A$91,J$4,'Data - Internal'!$B$2:$B$91,$B22)</f>
        <v>0</v>
      </c>
      <c r="K22" s="71">
        <f>SUMIFS('Data - Internal'!$D$2:$D$91,'Data - Internal'!$A$2:$A$91,K$4,'Data - Internal'!$B$2:$B$91,$B22)</f>
        <v>0</v>
      </c>
      <c r="L22" s="71">
        <f>SUMIFS('Data - Internal'!$D$2:$D$91,'Data - Internal'!$A$2:$A$91,L$4,'Data - Internal'!$B$2:$B$91,$B22)</f>
        <v>0</v>
      </c>
      <c r="M22" s="71">
        <f>SUMIFS('Data - Internal'!$D$2:$D$91,'Data - Internal'!$A$2:$A$91,M$4,'Data - Internal'!$B$2:$B$91,$B22)</f>
        <v>0</v>
      </c>
      <c r="N22" s="71">
        <f>SUMIFS('Data - Internal'!$D$2:$D$91,'Data - Internal'!$A$2:$A$91,N$4,'Data - Internal'!$B$2:$B$91,$B22)</f>
        <v>0</v>
      </c>
      <c r="O22" s="71">
        <f>SUMIFS('Data - Internal'!$D$2:$D$91,'Data - Internal'!$A$2:$A$91,O$4,'Data - Internal'!$B$2:$B$91,$B22)</f>
        <v>0</v>
      </c>
      <c r="P22" s="71">
        <f>SUMIFS('Data - Internal'!$D$2:$D$91,'Data - Internal'!$A$2:$A$91,P$4,'Data - Internal'!$B$2:$B$91,$B22)</f>
        <v>0</v>
      </c>
      <c r="Q22" s="71">
        <f>SUMIFS('Data - Internal'!$D$2:$D$91,'Data - Internal'!$A$2:$A$91,Q$4,'Data - Internal'!$B$2:$B$91,$B22)</f>
        <v>0</v>
      </c>
      <c r="R22" s="71">
        <f>SUM(F22:Q22)</f>
        <v>0</v>
      </c>
      <c r="S22" s="71">
        <f>SUMIFS('Data - Stripe'!F:F,'Data - Stripe'!A:A,'Recon - Stripe vs Internal'!B22)</f>
        <v>25920</v>
      </c>
      <c r="T22" s="71">
        <f>R22-S22</f>
        <v>-25920</v>
      </c>
      <c r="U22" s="50" t="str">
        <f>IF(ABS(T22)&lt;1,"✓","✗")</f>
        <v>✗</v>
      </c>
      <c r="V22" s="47" t="str">
        <f>IF(U22="✓","",IF(R22=0,"Not in Internal",IF(S22=0,"Not in Stripe",IF(ABS(T22)&lt;ABS(S22)*0.001,"Rounding",IF(T22&gt;0,"Internal over Stripe","Internal under Stripe")))))</f>
        <v>Not in Internal</v>
      </c>
      <c r="W22" s="24" t="s">
        <v>96</v>
      </c>
    </row>
    <row r="23" spans="1:23" x14ac:dyDescent="0.15">
      <c r="A23" s="51" t="s">
        <v>81</v>
      </c>
      <c r="B23" s="51" t="s">
        <v>32</v>
      </c>
      <c r="C23" s="52" t="s">
        <v>79</v>
      </c>
      <c r="D23" s="52">
        <v>7.1</v>
      </c>
      <c r="E23" s="53">
        <f>'Data - Stripe'!H18</f>
        <v>0</v>
      </c>
      <c r="F23" s="72">
        <f>SUMIFS('Data - Internal'!$D$2:$D$91,'Data - Internal'!$A$2:$A$91,F$4,'Data - Internal'!$B$2:$B$91,$B23)</f>
        <v>0</v>
      </c>
      <c r="G23" s="72">
        <f>SUMIFS('Data - Internal'!$D$2:$D$91,'Data - Internal'!$A$2:$A$91,G$4,'Data - Internal'!$B$2:$B$91,$B23)</f>
        <v>0</v>
      </c>
      <c r="H23" s="72">
        <f>SUMIFS('Data - Internal'!$D$2:$D$91,'Data - Internal'!$A$2:$A$91,H$4,'Data - Internal'!$B$2:$B$91,$B23)</f>
        <v>0</v>
      </c>
      <c r="I23" s="72">
        <f>SUMIFS('Data - Internal'!$D$2:$D$91,'Data - Internal'!$A$2:$A$91,I$4,'Data - Internal'!$B$2:$B$91,$B23)</f>
        <v>0</v>
      </c>
      <c r="J23" s="72">
        <f>SUMIFS('Data - Internal'!$D$2:$D$91,'Data - Internal'!$A$2:$A$91,J$4,'Data - Internal'!$B$2:$B$91,$B23)</f>
        <v>0</v>
      </c>
      <c r="K23" s="72">
        <f>SUMIFS('Data - Internal'!$D$2:$D$91,'Data - Internal'!$A$2:$A$91,K$4,'Data - Internal'!$B$2:$B$91,$B23)</f>
        <v>0</v>
      </c>
      <c r="L23" s="72">
        <f>SUMIFS('Data - Internal'!$D$2:$D$91,'Data - Internal'!$A$2:$A$91,L$4,'Data - Internal'!$B$2:$B$91,$B23)</f>
        <v>0</v>
      </c>
      <c r="M23" s="72">
        <f>SUMIFS('Data - Internal'!$D$2:$D$91,'Data - Internal'!$A$2:$A$91,M$4,'Data - Internal'!$B$2:$B$91,$B23)</f>
        <v>0</v>
      </c>
      <c r="N23" s="72">
        <f>SUMIFS('Data - Internal'!$D$2:$D$91,'Data - Internal'!$A$2:$A$91,N$4,'Data - Internal'!$B$2:$B$91,$B23)</f>
        <v>0</v>
      </c>
      <c r="O23" s="72">
        <f>SUMIFS('Data - Internal'!$D$2:$D$91,'Data - Internal'!$A$2:$A$91,O$4,'Data - Internal'!$B$2:$B$91,$B23)</f>
        <v>0</v>
      </c>
      <c r="P23" s="72">
        <f>SUMIFS('Data - Internal'!$D$2:$D$91,'Data - Internal'!$A$2:$A$91,P$4,'Data - Internal'!$B$2:$B$91,$B23)</f>
        <v>0</v>
      </c>
      <c r="Q23" s="72">
        <f>SUMIFS('Data - Internal'!$D$2:$D$91,'Data - Internal'!$A$2:$A$91,Q$4,'Data - Internal'!$B$2:$B$91,$B23)</f>
        <v>0</v>
      </c>
      <c r="R23" s="72">
        <f>SUM(F23:Q23)</f>
        <v>0</v>
      </c>
      <c r="S23" s="72">
        <f>SUMIFS('Data - Stripe'!F:F,'Data - Stripe'!A:A,'Recon - Stripe vs Internal'!B23)</f>
        <v>-5280000</v>
      </c>
      <c r="T23" s="72">
        <f>R23-S23</f>
        <v>5280000</v>
      </c>
      <c r="U23" s="54" t="str">
        <f>IF(ABS(T23)&lt;1,"✓","✗")</f>
        <v>✗</v>
      </c>
      <c r="V23" s="51" t="str">
        <f>IF(U23="✓","",IF(R23=0,"Not in Internal",IF(S23=0,"Not in Stripe",IF(ABS(T23)&lt;ABS(S23)*0.001,"Rounding",IF(T23&gt;0,"Internal over Stripe","Internal under Stripe")))))</f>
        <v>Not in Internal</v>
      </c>
      <c r="W23" s="24" t="s">
        <v>97</v>
      </c>
    </row>
    <row r="24" spans="1:23" x14ac:dyDescent="0.15">
      <c r="A24" s="51" t="s">
        <v>81</v>
      </c>
      <c r="B24" s="51" t="s">
        <v>33</v>
      </c>
      <c r="C24" s="52" t="s">
        <v>79</v>
      </c>
      <c r="D24" s="52">
        <v>7.2</v>
      </c>
      <c r="E24" s="53">
        <f>'Data - Stripe'!H19</f>
        <v>0</v>
      </c>
      <c r="F24" s="72">
        <f>SUMIFS('Data - Internal'!$D$2:$D$91,'Data - Internal'!$A$2:$A$91,F$4,'Data - Internal'!$B$2:$B$91,$B24)</f>
        <v>0</v>
      </c>
      <c r="G24" s="72">
        <f>SUMIFS('Data - Internal'!$D$2:$D$91,'Data - Internal'!$A$2:$A$91,G$4,'Data - Internal'!$B$2:$B$91,$B24)</f>
        <v>0</v>
      </c>
      <c r="H24" s="72">
        <f>SUMIFS('Data - Internal'!$D$2:$D$91,'Data - Internal'!$A$2:$A$91,H$4,'Data - Internal'!$B$2:$B$91,$B24)</f>
        <v>0</v>
      </c>
      <c r="I24" s="72">
        <f>SUMIFS('Data - Internal'!$D$2:$D$91,'Data - Internal'!$A$2:$A$91,I$4,'Data - Internal'!$B$2:$B$91,$B24)</f>
        <v>0</v>
      </c>
      <c r="J24" s="72">
        <f>SUMIFS('Data - Internal'!$D$2:$D$91,'Data - Internal'!$A$2:$A$91,J$4,'Data - Internal'!$B$2:$B$91,$B24)</f>
        <v>0</v>
      </c>
      <c r="K24" s="72">
        <f>SUMIFS('Data - Internal'!$D$2:$D$91,'Data - Internal'!$A$2:$A$91,K$4,'Data - Internal'!$B$2:$B$91,$B24)</f>
        <v>0</v>
      </c>
      <c r="L24" s="72">
        <f>SUMIFS('Data - Internal'!$D$2:$D$91,'Data - Internal'!$A$2:$A$91,L$4,'Data - Internal'!$B$2:$B$91,$B24)</f>
        <v>0</v>
      </c>
      <c r="M24" s="72">
        <f>SUMIFS('Data - Internal'!$D$2:$D$91,'Data - Internal'!$A$2:$A$91,M$4,'Data - Internal'!$B$2:$B$91,$B24)</f>
        <v>0</v>
      </c>
      <c r="N24" s="72">
        <f>SUMIFS('Data - Internal'!$D$2:$D$91,'Data - Internal'!$A$2:$A$91,N$4,'Data - Internal'!$B$2:$B$91,$B24)</f>
        <v>0</v>
      </c>
      <c r="O24" s="72">
        <f>SUMIFS('Data - Internal'!$D$2:$D$91,'Data - Internal'!$A$2:$A$91,O$4,'Data - Internal'!$B$2:$B$91,$B24)</f>
        <v>0</v>
      </c>
      <c r="P24" s="72">
        <f>SUMIFS('Data - Internal'!$D$2:$D$91,'Data - Internal'!$A$2:$A$91,P$4,'Data - Internal'!$B$2:$B$91,$B24)</f>
        <v>0</v>
      </c>
      <c r="Q24" s="72">
        <f>SUMIFS('Data - Internal'!$D$2:$D$91,'Data - Internal'!$A$2:$A$91,Q$4,'Data - Internal'!$B$2:$B$91,$B24)</f>
        <v>0</v>
      </c>
      <c r="R24" s="72">
        <f>SUM(F24:Q24)</f>
        <v>0</v>
      </c>
      <c r="S24" s="72">
        <f>SUMIFS('Data - Stripe'!F:F,'Data - Stripe'!A:A,'Recon - Stripe vs Internal'!B24)</f>
        <v>5280000</v>
      </c>
      <c r="T24" s="72">
        <f>R24-S24</f>
        <v>-5280000</v>
      </c>
      <c r="U24" s="54" t="str">
        <f>IF(ABS(T24)&lt;1,"✓","✗")</f>
        <v>✗</v>
      </c>
      <c r="V24" s="51" t="str">
        <f>IF(U24="✓","",IF(R24=0,"Not in Internal",IF(S24=0,"Not in Stripe",IF(ABS(T24)&lt;ABS(S24)*0.001,"Rounding",IF(T24&gt;0,"Internal over Stripe","Internal under Stripe")))))</f>
        <v>Not in Internal</v>
      </c>
      <c r="W24" s="24" t="s">
        <v>98</v>
      </c>
    </row>
    <row r="25" spans="1:23" x14ac:dyDescent="0.15">
      <c r="A25" s="55" t="s">
        <v>82</v>
      </c>
      <c r="B25" s="55" t="s">
        <v>28</v>
      </c>
      <c r="C25" s="56" t="s">
        <v>71</v>
      </c>
      <c r="D25" s="56">
        <v>8.1</v>
      </c>
      <c r="E25" s="57" t="s">
        <v>83</v>
      </c>
      <c r="F25" s="73">
        <f>SUMIFS('Data - Internal'!$D$2:$D$91,'Data - Internal'!$A$2:$A$91,F$4,'Data - Internal'!$B$2:$B$91,"silver")+SUMIFS('Data - Internal'!$D$2:$D$91,'Data - Internal'!$A$2:$A$91,F$4,'Data - Internal'!$B$2:$B$91,"diamond")+SUMIFS('Data - Internal'!$D$2:$D$91,'Data - Internal'!$A$2:$A$91,F$4,'Data - Internal'!$B$2:$B$91,"lite")+SUMIFS('Data - Internal'!$D$2:$D$91,'Data - Internal'!$A$2:$A$91,F$4,'Data - Internal'!$B$2:$B$91,"monthly")+SUMIFS('Data - Internal'!$D$2:$D$91,'Data - Internal'!$A$2:$A$91,F$4,'Data - Internal'!$B$2:$B$91,"yearly")</f>
        <v>0</v>
      </c>
      <c r="G25" s="73">
        <f>SUMIFS('Data - Internal'!$D$2:$D$91,'Data - Internal'!$A$2:$A$91,G$4,'Data - Internal'!$B$2:$B$91,"silver")+SUMIFS('Data - Internal'!$D$2:$D$91,'Data - Internal'!$A$2:$A$91,G$4,'Data - Internal'!$B$2:$B$91,"diamond")+SUMIFS('Data - Internal'!$D$2:$D$91,'Data - Internal'!$A$2:$A$91,G$4,'Data - Internal'!$B$2:$B$91,"lite")+SUMIFS('Data - Internal'!$D$2:$D$91,'Data - Internal'!$A$2:$A$91,G$4,'Data - Internal'!$B$2:$B$91,"monthly")+SUMIFS('Data - Internal'!$D$2:$D$91,'Data - Internal'!$A$2:$A$91,G$4,'Data - Internal'!$B$2:$B$91,"yearly")</f>
        <v>0</v>
      </c>
      <c r="H25" s="73">
        <f>SUMIFS('Data - Internal'!$D$2:$D$91,'Data - Internal'!$A$2:$A$91,H$4,'Data - Internal'!$B$2:$B$91,"silver")+SUMIFS('Data - Internal'!$D$2:$D$91,'Data - Internal'!$A$2:$A$91,H$4,'Data - Internal'!$B$2:$B$91,"diamond")+SUMIFS('Data - Internal'!$D$2:$D$91,'Data - Internal'!$A$2:$A$91,H$4,'Data - Internal'!$B$2:$B$91,"lite")+SUMIFS('Data - Internal'!$D$2:$D$91,'Data - Internal'!$A$2:$A$91,H$4,'Data - Internal'!$B$2:$B$91,"monthly")+SUMIFS('Data - Internal'!$D$2:$D$91,'Data - Internal'!$A$2:$A$91,H$4,'Data - Internal'!$B$2:$B$91,"yearly")</f>
        <v>0</v>
      </c>
      <c r="I25" s="73">
        <f>SUMIFS('Data - Internal'!$D$2:$D$91,'Data - Internal'!$A$2:$A$91,I$4,'Data - Internal'!$B$2:$B$91,"silver")+SUMIFS('Data - Internal'!$D$2:$D$91,'Data - Internal'!$A$2:$A$91,I$4,'Data - Internal'!$B$2:$B$91,"diamond")+SUMIFS('Data - Internal'!$D$2:$D$91,'Data - Internal'!$A$2:$A$91,I$4,'Data - Internal'!$B$2:$B$91,"lite")+SUMIFS('Data - Internal'!$D$2:$D$91,'Data - Internal'!$A$2:$A$91,I$4,'Data - Internal'!$B$2:$B$91,"monthly")+SUMIFS('Data - Internal'!$D$2:$D$91,'Data - Internal'!$A$2:$A$91,I$4,'Data - Internal'!$B$2:$B$91,"yearly")</f>
        <v>0</v>
      </c>
      <c r="J25" s="73">
        <f>SUMIFS('Data - Internal'!$D$2:$D$91,'Data - Internal'!$A$2:$A$91,J$4,'Data - Internal'!$B$2:$B$91,"silver")+SUMIFS('Data - Internal'!$D$2:$D$91,'Data - Internal'!$A$2:$A$91,J$4,'Data - Internal'!$B$2:$B$91,"diamond")+SUMIFS('Data - Internal'!$D$2:$D$91,'Data - Internal'!$A$2:$A$91,J$4,'Data - Internal'!$B$2:$B$91,"lite")+SUMIFS('Data - Internal'!$D$2:$D$91,'Data - Internal'!$A$2:$A$91,J$4,'Data - Internal'!$B$2:$B$91,"monthly")+SUMIFS('Data - Internal'!$D$2:$D$91,'Data - Internal'!$A$2:$A$91,J$4,'Data - Internal'!$B$2:$B$91,"yearly")</f>
        <v>0</v>
      </c>
      <c r="K25" s="73">
        <f>SUMIFS('Data - Internal'!$D$2:$D$91,'Data - Internal'!$A$2:$A$91,K$4,'Data - Internal'!$B$2:$B$91,"silver")+SUMIFS('Data - Internal'!$D$2:$D$91,'Data - Internal'!$A$2:$A$91,K$4,'Data - Internal'!$B$2:$B$91,"diamond")+SUMIFS('Data - Internal'!$D$2:$D$91,'Data - Internal'!$A$2:$A$91,K$4,'Data - Internal'!$B$2:$B$91,"lite")+SUMIFS('Data - Internal'!$D$2:$D$91,'Data - Internal'!$A$2:$A$91,K$4,'Data - Internal'!$B$2:$B$91,"monthly")+SUMIFS('Data - Internal'!$D$2:$D$91,'Data - Internal'!$A$2:$A$91,K$4,'Data - Internal'!$B$2:$B$91,"yearly")</f>
        <v>0</v>
      </c>
      <c r="L25" s="73">
        <f>SUMIFS('Data - Internal'!$D$2:$D$91,'Data - Internal'!$A$2:$A$91,L$4,'Data - Internal'!$B$2:$B$91,"silver")+SUMIFS('Data - Internal'!$D$2:$D$91,'Data - Internal'!$A$2:$A$91,L$4,'Data - Internal'!$B$2:$B$91,"diamond")+SUMIFS('Data - Internal'!$D$2:$D$91,'Data - Internal'!$A$2:$A$91,L$4,'Data - Internal'!$B$2:$B$91,"lite")+SUMIFS('Data - Internal'!$D$2:$D$91,'Data - Internal'!$A$2:$A$91,L$4,'Data - Internal'!$B$2:$B$91,"monthly")+SUMIFS('Data - Internal'!$D$2:$D$91,'Data - Internal'!$A$2:$A$91,L$4,'Data - Internal'!$B$2:$B$91,"yearly")</f>
        <v>0</v>
      </c>
      <c r="M25" s="73">
        <f>SUMIFS('Data - Internal'!$D$2:$D$91,'Data - Internal'!$A$2:$A$91,M$4,'Data - Internal'!$B$2:$B$91,"silver")+SUMIFS('Data - Internal'!$D$2:$D$91,'Data - Internal'!$A$2:$A$91,M$4,'Data - Internal'!$B$2:$B$91,"diamond")+SUMIFS('Data - Internal'!$D$2:$D$91,'Data - Internal'!$A$2:$A$91,M$4,'Data - Internal'!$B$2:$B$91,"lite")+SUMIFS('Data - Internal'!$D$2:$D$91,'Data - Internal'!$A$2:$A$91,M$4,'Data - Internal'!$B$2:$B$91,"monthly")+SUMIFS('Data - Internal'!$D$2:$D$91,'Data - Internal'!$A$2:$A$91,M$4,'Data - Internal'!$B$2:$B$91,"yearly")</f>
        <v>0</v>
      </c>
      <c r="N25" s="73">
        <f>SUMIFS('Data - Internal'!$D$2:$D$91,'Data - Internal'!$A$2:$A$91,N$4,'Data - Internal'!$B$2:$B$91,"silver")+SUMIFS('Data - Internal'!$D$2:$D$91,'Data - Internal'!$A$2:$A$91,N$4,'Data - Internal'!$B$2:$B$91,"diamond")+SUMIFS('Data - Internal'!$D$2:$D$91,'Data - Internal'!$A$2:$A$91,N$4,'Data - Internal'!$B$2:$B$91,"lite")+SUMIFS('Data - Internal'!$D$2:$D$91,'Data - Internal'!$A$2:$A$91,N$4,'Data - Internal'!$B$2:$B$91,"monthly")+SUMIFS('Data - Internal'!$D$2:$D$91,'Data - Internal'!$A$2:$A$91,N$4,'Data - Internal'!$B$2:$B$91,"yearly")</f>
        <v>0</v>
      </c>
      <c r="O25" s="73">
        <f>SUMIFS('Data - Internal'!$D$2:$D$91,'Data - Internal'!$A$2:$A$91,O$4,'Data - Internal'!$B$2:$B$91,"silver")+SUMIFS('Data - Internal'!$D$2:$D$91,'Data - Internal'!$A$2:$A$91,O$4,'Data - Internal'!$B$2:$B$91,"diamond")+SUMIFS('Data - Internal'!$D$2:$D$91,'Data - Internal'!$A$2:$A$91,O$4,'Data - Internal'!$B$2:$B$91,"lite")+SUMIFS('Data - Internal'!$D$2:$D$91,'Data - Internal'!$A$2:$A$91,O$4,'Data - Internal'!$B$2:$B$91,"monthly")+SUMIFS('Data - Internal'!$D$2:$D$91,'Data - Internal'!$A$2:$A$91,O$4,'Data - Internal'!$B$2:$B$91,"yearly")</f>
        <v>0</v>
      </c>
      <c r="P25" s="73">
        <f>SUMIFS('Data - Internal'!$D$2:$D$91,'Data - Internal'!$A$2:$A$91,P$4,'Data - Internal'!$B$2:$B$91,"silver")+SUMIFS('Data - Internal'!$D$2:$D$91,'Data - Internal'!$A$2:$A$91,P$4,'Data - Internal'!$B$2:$B$91,"diamond")+SUMIFS('Data - Internal'!$D$2:$D$91,'Data - Internal'!$A$2:$A$91,P$4,'Data - Internal'!$B$2:$B$91,"lite")+SUMIFS('Data - Internal'!$D$2:$D$91,'Data - Internal'!$A$2:$A$91,P$4,'Data - Internal'!$B$2:$B$91,"monthly")+SUMIFS('Data - Internal'!$D$2:$D$91,'Data - Internal'!$A$2:$A$91,P$4,'Data - Internal'!$B$2:$B$91,"yearly")</f>
        <v>0</v>
      </c>
      <c r="Q25" s="73">
        <f>SUMIFS('Data - Internal'!$D$2:$D$91,'Data - Internal'!$A$2:$A$91,Q$4,'Data - Internal'!$B$2:$B$91,"silver")+SUMIFS('Data - Internal'!$D$2:$D$91,'Data - Internal'!$A$2:$A$91,Q$4,'Data - Internal'!$B$2:$B$91,"diamond")+SUMIFS('Data - Internal'!$D$2:$D$91,'Data - Internal'!$A$2:$A$91,Q$4,'Data - Internal'!$B$2:$B$91,"lite")+SUMIFS('Data - Internal'!$D$2:$D$91,'Data - Internal'!$A$2:$A$91,Q$4,'Data - Internal'!$B$2:$B$91,"monthly")+SUMIFS('Data - Internal'!$D$2:$D$91,'Data - Internal'!$A$2:$A$91,Q$4,'Data - Internal'!$B$2:$B$91,"yearly")</f>
        <v>658522.85999999987</v>
      </c>
      <c r="R25" s="73">
        <f>SUM(F25:Q25)</f>
        <v>658522.85999999987</v>
      </c>
      <c r="S25" s="73">
        <f>SUMIFS('Data - Stripe'!F:F,'Data - Stripe'!A:A,'Recon - Stripe vs Internal'!B25)</f>
        <v>0</v>
      </c>
      <c r="T25" s="73">
        <f>R25-S25</f>
        <v>658522.85999999987</v>
      </c>
      <c r="U25" s="58" t="str">
        <f>IF(ABS(T25)&lt;1,"✓","✗")</f>
        <v>✗</v>
      </c>
      <c r="V25" s="55" t="str">
        <f>IF(U25="✓","",IF(R25=0,"Not in Internal",IF(S25=0,"Not in Stripe",IF(ABS(T25)&lt;ABS(S25)*0.001,"Rounding",IF(T25&gt;0,"Internal over Stripe","Internal under Stripe")))))</f>
        <v>Not in Stripe</v>
      </c>
      <c r="W25" s="24" t="s">
        <v>99</v>
      </c>
    </row>
    <row r="26" spans="1:23" x14ac:dyDescent="0.15"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</row>
    <row r="27" spans="1:23" x14ac:dyDescent="0.15">
      <c r="A27" s="16" t="s">
        <v>54</v>
      </c>
      <c r="B27" s="16"/>
      <c r="C27" s="16"/>
      <c r="D27" s="16"/>
      <c r="E27" s="16"/>
      <c r="F27" s="75">
        <f>SUM(F5:F25)</f>
        <v>1618381.2300000035</v>
      </c>
      <c r="G27" s="75">
        <f>SUM(G5:G25)</f>
        <v>773638.11</v>
      </c>
      <c r="H27" s="75">
        <f>SUM(H5:H25)</f>
        <v>121660.20000000058</v>
      </c>
      <c r="I27" s="75">
        <f>SUM(I5:I25)</f>
        <v>-23256.959999999999</v>
      </c>
      <c r="J27" s="75">
        <f>SUM(J5:J25)</f>
        <v>107945.71</v>
      </c>
      <c r="K27" s="75">
        <f>SUM(K5:K25)</f>
        <v>-4515176.08</v>
      </c>
      <c r="L27" s="75">
        <f>SUM(L5:L25)</f>
        <v>129770.4</v>
      </c>
      <c r="M27" s="75">
        <f>SUM(M5:M25)</f>
        <v>11990272.089999923</v>
      </c>
      <c r="N27" s="75">
        <f>SUM(N5:N25)</f>
        <v>8649172.1799999978</v>
      </c>
      <c r="O27" s="75">
        <f>SUM(O5:O25)</f>
        <v>460120.19999999995</v>
      </c>
      <c r="P27" s="75">
        <f>SUM(P5:P25)</f>
        <v>4775586.959999999</v>
      </c>
      <c r="Q27" s="75">
        <f>SUM(Q5:Q25)</f>
        <v>658522.85999999987</v>
      </c>
      <c r="R27" s="75">
        <f>SUM(R5:R25)</f>
        <v>24746636.899999861</v>
      </c>
      <c r="S27" s="75">
        <f>SUM(S5:S25)</f>
        <v>23402066.400000181</v>
      </c>
      <c r="T27" s="75">
        <f>SUM(T5:T25)</f>
        <v>1344570.499999898</v>
      </c>
      <c r="U27" s="23" t="str">
        <f>IF(ABS(T27)&lt;1,"✓","✗")</f>
        <v>✗</v>
      </c>
      <c r="V27" s="16"/>
    </row>
    <row r="28" spans="1:23" x14ac:dyDescent="0.15">
      <c r="A28" s="16" t="s">
        <v>84</v>
      </c>
      <c r="B28" s="16"/>
      <c r="C28" s="16"/>
      <c r="D28" s="16"/>
      <c r="E28" s="16"/>
      <c r="F28" s="75">
        <f>SUMIFS('Data - Internal'!$D$2:$D$91,'Data - Internal'!$A$2:$A$91,F$4)</f>
        <v>1618381.2300000037</v>
      </c>
      <c r="G28" s="75">
        <f>SUMIFS('Data - Internal'!$D$2:$D$91,'Data - Internal'!$A$2:$A$91,G$4)</f>
        <v>773638.11</v>
      </c>
      <c r="H28" s="75">
        <f>SUMIFS('Data - Internal'!$D$2:$D$91,'Data - Internal'!$A$2:$A$91,H$4)</f>
        <v>121660.20000000023</v>
      </c>
      <c r="I28" s="75">
        <f>SUMIFS('Data - Internal'!$D$2:$D$91,'Data - Internal'!$A$2:$A$91,I$4)</f>
        <v>-23256.959999999999</v>
      </c>
      <c r="J28" s="75">
        <f>SUMIFS('Data - Internal'!$D$2:$D$91,'Data - Internal'!$A$2:$A$91,J$4)</f>
        <v>107945.71</v>
      </c>
      <c r="K28" s="75">
        <f>SUMIFS('Data - Internal'!$D$2:$D$91,'Data - Internal'!$A$2:$A$91,K$4)</f>
        <v>-4515176.08</v>
      </c>
      <c r="L28" s="75">
        <f>SUMIFS('Data - Internal'!$D$2:$D$91,'Data - Internal'!$A$2:$A$91,L$4)</f>
        <v>129770.4</v>
      </c>
      <c r="M28" s="75">
        <f>SUMIFS('Data - Internal'!$D$2:$D$91,'Data - Internal'!$A$2:$A$91,M$4)</f>
        <v>11990272.089999905</v>
      </c>
      <c r="N28" s="75">
        <f>SUMIFS('Data - Internal'!$D$2:$D$91,'Data - Internal'!$A$2:$A$91,N$4)</f>
        <v>8649172.1799999978</v>
      </c>
      <c r="O28" s="75">
        <f>SUMIFS('Data - Internal'!$D$2:$D$91,'Data - Internal'!$A$2:$A$91,O$4)</f>
        <v>460120.19999999995</v>
      </c>
      <c r="P28" s="75">
        <f>SUMIFS('Data - Internal'!$D$2:$D$91,'Data - Internal'!$A$2:$A$91,P$4)</f>
        <v>4775586.959999999</v>
      </c>
      <c r="Q28" s="75">
        <f>SUMIFS('Data - Internal'!$D$2:$D$91,'Data - Internal'!$A$2:$A$91,Q$4)</f>
        <v>658522.85999999987</v>
      </c>
      <c r="R28" s="75">
        <f>SUM('Data - Internal'!$D$2:$D$91)</f>
        <v>24746636.899999917</v>
      </c>
      <c r="S28" s="75">
        <f>SUM('Data - Stripe'!$F$4:$F$19)</f>
        <v>23402066.400000148</v>
      </c>
      <c r="T28" s="75">
        <f>R28-S28</f>
        <v>1344570.499999769</v>
      </c>
      <c r="U28" s="23" t="str">
        <f>IF(ABS(T28)&lt;1,"✓","✗")</f>
        <v>✗</v>
      </c>
      <c r="V28" s="16"/>
    </row>
    <row r="29" spans="1:23" x14ac:dyDescent="0.15">
      <c r="A29" s="25" t="s">
        <v>85</v>
      </c>
      <c r="B29" s="25"/>
      <c r="C29" s="25"/>
      <c r="D29" s="25"/>
      <c r="E29" s="25"/>
      <c r="F29" s="76">
        <f>F27-F28</f>
        <v>0</v>
      </c>
      <c r="G29" s="76">
        <f>G27-G28</f>
        <v>0</v>
      </c>
      <c r="H29" s="76">
        <f>H27-H28</f>
        <v>3.4924596548080444E-10</v>
      </c>
      <c r="I29" s="76">
        <f>I27-I28</f>
        <v>0</v>
      </c>
      <c r="J29" s="76">
        <f>J27-J28</f>
        <v>0</v>
      </c>
      <c r="K29" s="76">
        <f>K27-K28</f>
        <v>0</v>
      </c>
      <c r="L29" s="76">
        <f>L27-L28</f>
        <v>0</v>
      </c>
      <c r="M29" s="76">
        <f>M27-M28</f>
        <v>1.862645149230957E-8</v>
      </c>
      <c r="N29" s="76">
        <f>N27-N28</f>
        <v>0</v>
      </c>
      <c r="O29" s="76">
        <f>O27-O28</f>
        <v>0</v>
      </c>
      <c r="P29" s="76">
        <f>P27-P28</f>
        <v>0</v>
      </c>
      <c r="Q29" s="76">
        <f>Q27-Q28</f>
        <v>0</v>
      </c>
      <c r="R29" s="76">
        <f>R27-R28</f>
        <v>-5.5879354476928711E-8</v>
      </c>
      <c r="S29" s="76">
        <f>S27-S28</f>
        <v>3.3527612686157227E-8</v>
      </c>
      <c r="T29" s="76">
        <f>T27-T28</f>
        <v>1.2898817658424377E-7</v>
      </c>
      <c r="U29" s="26" t="str">
        <f>IF(ABS(T29)&lt;1,"✓","✗")</f>
        <v>✓</v>
      </c>
      <c r="V29" s="2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999"/>
  <sheetViews>
    <sheetView workbookViewId="0">
      <selection sqref="A1:XFD1048576"/>
    </sheetView>
  </sheetViews>
  <sheetFormatPr baseColWidth="10" defaultColWidth="12.6640625" defaultRowHeight="15" customHeight="1" x14ac:dyDescent="0.15"/>
  <cols>
    <col min="1" max="1" width="27.83203125" customWidth="1"/>
    <col min="2" max="2" width="10.83203125" customWidth="1"/>
    <col min="3" max="3" width="13.6640625" bestFit="1" customWidth="1"/>
    <col min="4" max="4" width="16" customWidth="1"/>
    <col min="5" max="5" width="13.33203125" customWidth="1"/>
    <col min="6" max="6" width="15.1640625" bestFit="1" customWidth="1"/>
    <col min="7" max="22" width="10.5" customWidth="1"/>
  </cols>
  <sheetData>
    <row r="1" spans="1:22" ht="13.5" customHeight="1" x14ac:dyDescent="0.15">
      <c r="A1" s="3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3.5" customHeight="1" x14ac:dyDescent="0.15">
      <c r="A2" s="3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3.5" customHeight="1" x14ac:dyDescent="0.15">
      <c r="A3" s="4" t="s">
        <v>36</v>
      </c>
      <c r="B3" s="4" t="s">
        <v>37</v>
      </c>
      <c r="C3" s="4" t="s">
        <v>38</v>
      </c>
      <c r="D3" s="4" t="s">
        <v>39</v>
      </c>
      <c r="E3" s="4" t="s">
        <v>12</v>
      </c>
      <c r="F3" s="4" t="s">
        <v>40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3.5" customHeight="1" x14ac:dyDescent="0.15">
      <c r="A4" s="2" t="s">
        <v>3</v>
      </c>
      <c r="B4" s="2" t="s">
        <v>41</v>
      </c>
      <c r="C4" s="77">
        <v>8960268</v>
      </c>
      <c r="D4" s="78">
        <v>954124847.75999999</v>
      </c>
      <c r="E4" s="78">
        <v>-576336.36</v>
      </c>
      <c r="F4" s="78">
        <v>953548511.4000001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3.5" customHeight="1" x14ac:dyDescent="0.15">
      <c r="A5" s="2" t="s">
        <v>8</v>
      </c>
      <c r="B5" s="2" t="s">
        <v>41</v>
      </c>
      <c r="C5" s="77">
        <v>61947</v>
      </c>
      <c r="D5" s="78">
        <v>-4065765.4799999995</v>
      </c>
      <c r="E5" s="78">
        <v>0</v>
      </c>
      <c r="F5" s="78">
        <v>-4065765.4799999995</v>
      </c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3.5" customHeight="1" x14ac:dyDescent="0.15">
      <c r="A6" s="2" t="s">
        <v>18</v>
      </c>
      <c r="B6" s="2" t="s">
        <v>41</v>
      </c>
      <c r="C6" s="77">
        <v>48</v>
      </c>
      <c r="D6" s="78">
        <v>7302.9600000000009</v>
      </c>
      <c r="E6" s="78">
        <v>0</v>
      </c>
      <c r="F6" s="78">
        <v>7302.9600000000009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3.5" customHeight="1" x14ac:dyDescent="0.15">
      <c r="A7" s="2" t="s">
        <v>4</v>
      </c>
      <c r="B7" s="2" t="s">
        <v>41</v>
      </c>
      <c r="C7" s="77">
        <v>3675</v>
      </c>
      <c r="D7" s="78">
        <v>-603068.10000000009</v>
      </c>
      <c r="E7" s="78">
        <v>-54135</v>
      </c>
      <c r="F7" s="78">
        <v>-657203.10000000009</v>
      </c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3.5" customHeight="1" x14ac:dyDescent="0.15">
      <c r="A8" s="2" t="s">
        <v>5</v>
      </c>
      <c r="B8" s="2" t="s">
        <v>41</v>
      </c>
      <c r="C8" s="77">
        <v>963</v>
      </c>
      <c r="D8" s="78">
        <v>176609.97</v>
      </c>
      <c r="E8" s="78">
        <v>450</v>
      </c>
      <c r="F8" s="78">
        <v>177059.97</v>
      </c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3.5" customHeight="1" x14ac:dyDescent="0.15">
      <c r="A9" s="2" t="s">
        <v>9</v>
      </c>
      <c r="B9" s="2" t="s">
        <v>41</v>
      </c>
      <c r="C9" s="77">
        <v>8586258</v>
      </c>
      <c r="D9" s="78">
        <v>-939468238.52999997</v>
      </c>
      <c r="E9" s="78">
        <v>0</v>
      </c>
      <c r="F9" s="78">
        <v>-939468238.52999997</v>
      </c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3.5" customHeight="1" x14ac:dyDescent="0.15">
      <c r="A10" s="2" t="s">
        <v>10</v>
      </c>
      <c r="B10" s="2" t="s">
        <v>41</v>
      </c>
      <c r="C10" s="77">
        <v>62466</v>
      </c>
      <c r="D10" s="78">
        <v>4199980.68</v>
      </c>
      <c r="E10" s="78">
        <v>0</v>
      </c>
      <c r="F10" s="78">
        <v>4199980.68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3.5" customHeight="1" x14ac:dyDescent="0.15">
      <c r="A11" s="2" t="s">
        <v>6</v>
      </c>
      <c r="B11" s="2" t="s">
        <v>41</v>
      </c>
      <c r="C11" s="77">
        <v>8810328</v>
      </c>
      <c r="D11" s="78">
        <v>28313004.030000001</v>
      </c>
      <c r="E11" s="78">
        <v>0</v>
      </c>
      <c r="F11" s="78">
        <v>28313004.030000001</v>
      </c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3.5" customHeight="1" x14ac:dyDescent="0.15">
      <c r="A12" s="2" t="s">
        <v>7</v>
      </c>
      <c r="B12" s="2" t="s">
        <v>41</v>
      </c>
      <c r="C12" s="77">
        <v>62805</v>
      </c>
      <c r="D12" s="78">
        <v>-127024.44</v>
      </c>
      <c r="E12" s="78">
        <v>0</v>
      </c>
      <c r="F12" s="78">
        <v>-127024.44</v>
      </c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3.5" customHeight="1" x14ac:dyDescent="0.15">
      <c r="A13" s="2" t="s">
        <v>17</v>
      </c>
      <c r="B13" s="2" t="s">
        <v>41</v>
      </c>
      <c r="C13" s="77">
        <v>633</v>
      </c>
      <c r="D13" s="78">
        <v>-526651.5</v>
      </c>
      <c r="E13" s="78">
        <v>0</v>
      </c>
      <c r="F13" s="78">
        <v>-526651.5</v>
      </c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3.5" customHeight="1" x14ac:dyDescent="0.15">
      <c r="A14" s="2" t="s">
        <v>12</v>
      </c>
      <c r="B14" s="2" t="s">
        <v>41</v>
      </c>
      <c r="C14" s="77">
        <v>1248</v>
      </c>
      <c r="D14" s="78">
        <v>-1481596.26</v>
      </c>
      <c r="E14" s="78">
        <v>-23884.170000000002</v>
      </c>
      <c r="F14" s="78">
        <v>-1505480.43</v>
      </c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3.5" customHeight="1" x14ac:dyDescent="0.15">
      <c r="A15" s="2" t="s">
        <v>13</v>
      </c>
      <c r="B15" s="2" t="s">
        <v>41</v>
      </c>
      <c r="C15" s="77">
        <v>1899</v>
      </c>
      <c r="D15" s="78">
        <v>-16959836.490000002</v>
      </c>
      <c r="E15" s="78">
        <v>0</v>
      </c>
      <c r="F15" s="78">
        <v>-16959836.490000002</v>
      </c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3.5" customHeight="1" x14ac:dyDescent="0.15">
      <c r="A16" s="2" t="s">
        <v>31</v>
      </c>
      <c r="B16" s="2" t="s">
        <v>41</v>
      </c>
      <c r="C16" s="77">
        <v>3</v>
      </c>
      <c r="D16" s="78">
        <v>25920</v>
      </c>
      <c r="E16" s="78">
        <v>0</v>
      </c>
      <c r="F16" s="78">
        <v>25920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3.5" customHeight="1" x14ac:dyDescent="0.15">
      <c r="A17" s="2" t="s">
        <v>42</v>
      </c>
      <c r="B17" s="2" t="s">
        <v>41</v>
      </c>
      <c r="C17" s="77">
        <v>3</v>
      </c>
      <c r="D17" s="78">
        <v>440487.32999999996</v>
      </c>
      <c r="E17" s="78">
        <v>0</v>
      </c>
      <c r="F17" s="78">
        <v>440487.32999999996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3.5" customHeight="1" x14ac:dyDescent="0.15">
      <c r="A18" s="2" t="s">
        <v>32</v>
      </c>
      <c r="B18" s="2" t="s">
        <v>41</v>
      </c>
      <c r="C18" s="77">
        <v>66</v>
      </c>
      <c r="D18" s="78">
        <v>-5280000</v>
      </c>
      <c r="E18" s="78">
        <v>0</v>
      </c>
      <c r="F18" s="78">
        <v>-5280000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3.5" customHeight="1" x14ac:dyDescent="0.15">
      <c r="A19" s="2" t="s">
        <v>33</v>
      </c>
      <c r="B19" s="2" t="s">
        <v>41</v>
      </c>
      <c r="C19" s="77">
        <v>66</v>
      </c>
      <c r="D19" s="78">
        <v>5280000</v>
      </c>
      <c r="E19" s="78">
        <v>0</v>
      </c>
      <c r="F19" s="78">
        <v>5280000</v>
      </c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3.5" customHeight="1" x14ac:dyDescent="0.15">
      <c r="C20" s="1"/>
      <c r="D20" s="1"/>
      <c r="E20" s="1"/>
      <c r="F20" s="1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3.5" customHeight="1" x14ac:dyDescent="0.15">
      <c r="A21" s="2" t="s">
        <v>43</v>
      </c>
      <c r="B21" s="2" t="s">
        <v>41</v>
      </c>
      <c r="C21" s="77">
        <v>26552676</v>
      </c>
      <c r="D21" s="78">
        <v>24055971.93</v>
      </c>
      <c r="E21" s="78">
        <v>-653905.53</v>
      </c>
      <c r="F21" s="78">
        <v>7800688.7999999998</v>
      </c>
      <c r="G21" s="6"/>
      <c r="H21" s="6"/>
      <c r="I21" s="6"/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3.5" customHeight="1" x14ac:dyDescent="0.15">
      <c r="C22" s="1"/>
      <c r="D22" s="1"/>
      <c r="E22" s="1"/>
      <c r="F22" s="1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3.5" customHeight="1" x14ac:dyDescent="0.15">
      <c r="A23" s="5"/>
      <c r="B23" s="5"/>
      <c r="C23" s="6"/>
      <c r="D23" s="6"/>
      <c r="E23" s="6"/>
      <c r="F23" s="6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3.5" customHeight="1" x14ac:dyDescent="0.15">
      <c r="A24" s="5"/>
      <c r="B24" s="5"/>
      <c r="C24" s="6"/>
      <c r="D24" s="6"/>
      <c r="E24" s="6"/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3.5" customHeight="1" x14ac:dyDescent="0.15">
      <c r="A25" s="5"/>
      <c r="B25" s="5"/>
      <c r="C25" s="6"/>
      <c r="D25" s="6"/>
      <c r="E25" s="6"/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3.5" customHeight="1" x14ac:dyDescent="0.15">
      <c r="A26" s="5"/>
      <c r="B26" s="5"/>
      <c r="C26" s="6"/>
      <c r="D26" s="6"/>
      <c r="E26" s="6"/>
      <c r="F26" s="6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3.5" customHeight="1" x14ac:dyDescent="0.15">
      <c r="A27" s="5"/>
      <c r="B27" s="5"/>
      <c r="C27" s="6"/>
      <c r="D27" s="6"/>
      <c r="E27" s="6"/>
      <c r="F27" s="6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3.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3.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3.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3.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3.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3.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3.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3.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3.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3.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3.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3.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3.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3.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3.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3.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3.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3.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3.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3.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3.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3.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3.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3.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3.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3.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3.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3.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3.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3.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3.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3.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3.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3.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3.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3.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3.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3.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3.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.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3.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3.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3.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3.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3.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3.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3.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3.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3.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3.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3.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3.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3.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3.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.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3.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3.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3.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3.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3.5" customHeigh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3.5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3.5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3.5" customHeigh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3.5" customHeigh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3.5" customHeigh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3.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3.5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3.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3.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3.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3.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3.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3.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3.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3.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3.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3.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3.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3.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3.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3.5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3.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3.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3.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3.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3.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3.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3.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3.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3.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3.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3.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3.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3.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3.5" customHeigh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3.5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3.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3.5" customHeigh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3.5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3.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3.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3.5" customHeigh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3.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3.5" customHeigh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3.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3.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3.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3.5" customHeight="1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3.5" customHeight="1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3.5" customHeight="1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3.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3.5" customHeight="1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3.5" customHeight="1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3.5" customHeight="1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3.5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3.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3.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3.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3.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3.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3.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3.5" customHeigh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3.5" customHeigh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3.5" customHeigh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3.5" customHeight="1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3.5" customHeigh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3.5" customHeight="1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3.5" customHeigh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3.5" customHeight="1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3.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3.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3.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3.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3.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3.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3.5" customHeight="1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3.5" customHeight="1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3.5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3.5" customHeight="1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3.5" customHeight="1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3.5" customHeight="1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3.5" customHeight="1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3.5" customHeight="1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3.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3.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3.5" customHeight="1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3.5" customHeight="1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3.5" customHeight="1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3.5" customHeight="1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3.5" customHeight="1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3.5" customHeight="1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3.5" customHeight="1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3.5" customHeight="1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3.5" customHeight="1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3.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3.5" customHeight="1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3.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3.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.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3.5" customHeight="1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.5" customHeight="1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3.5" customHeight="1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.5" customHeight="1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3.5" customHeight="1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.5" customHeight="1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3.5" customHeight="1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3.5" customHeight="1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3.5" customHeight="1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3.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3.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.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.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3.5" customHeight="1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.5" customHeight="1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3.5" customHeight="1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.5" customHeight="1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3.5" customHeight="1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.5" customHeight="1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3.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3.5" customHeight="1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3.5" customHeight="1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.5" customHeight="1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3.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3.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3.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3.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3.5" customHeight="1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3.5" customHeight="1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3.5" customHeight="1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3.5" customHeight="1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3.5" customHeight="1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3.5" customHeight="1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3.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3.5" customHeight="1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3.5" customHeight="1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3.5" customHeight="1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3.5" customHeight="1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3.5" customHeight="1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3.5" customHeight="1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3.5" customHeight="1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3.5" customHeight="1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3.5" customHeight="1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3.5" customHeight="1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3.5" customHeight="1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3.5" customHeight="1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3.5" customHeight="1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3.5" customHeight="1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3.5" customHeight="1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3.5" customHeight="1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3.5" customHeight="1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3.5" customHeight="1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3.5" customHeight="1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3.5" customHeight="1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3.5" customHeight="1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3.5" customHeight="1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3.5" customHeight="1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3.5" customHeight="1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3.5" customHeight="1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3.5" customHeight="1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3.5" customHeight="1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3.5" customHeight="1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3.5" customHeight="1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3.5" customHeight="1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3.5" customHeight="1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3.5" customHeight="1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3.5" customHeight="1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3.5" customHeight="1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3.5" customHeight="1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3.5" customHeight="1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3.5" customHeight="1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3.5" customHeight="1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3.5" customHeight="1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3.5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3.5" customHeight="1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3.5" customHeight="1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3.5" customHeight="1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3.5" customHeight="1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3.5" customHeight="1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3.5" customHeight="1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3.5" customHeight="1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3.5" customHeight="1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3.5" customHeight="1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3.5" customHeight="1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3.5" customHeight="1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3.5" customHeight="1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3.5" customHeight="1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3.5" customHeight="1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3.5" customHeight="1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3.5" customHeight="1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.5" customHeight="1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3.5" customHeight="1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3.5" customHeight="1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3.5" customHeight="1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3.5" customHeight="1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3.5" customHeight="1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3.5" customHeight="1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3.5" customHeight="1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3.5" customHeight="1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3.5" customHeight="1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3.5" customHeight="1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3.5" customHeight="1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3.5" customHeight="1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3.5" customHeight="1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3.5" customHeight="1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3.5" customHeight="1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3.5" customHeight="1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3.5" customHeight="1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3.5" customHeight="1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3.5" customHeight="1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3.5" customHeight="1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3.5" customHeight="1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3.5" customHeight="1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3.5" customHeight="1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3.5" customHeight="1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3.5" customHeight="1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3.5" customHeight="1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3.5" customHeight="1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3.5" customHeight="1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3.5" customHeight="1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.5" customHeight="1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3.5" customHeight="1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3.5" customHeight="1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3.5" customHeight="1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3.5" customHeight="1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.5" customHeight="1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3.5" customHeight="1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3.5" customHeight="1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3.5" customHeight="1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3.5" customHeight="1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3.5" customHeight="1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3.5" customHeight="1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3.5" customHeight="1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3.5" customHeight="1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3.5" customHeight="1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3.5" customHeight="1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3.5" customHeight="1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3.5" customHeight="1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3.5" customHeight="1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3.5" customHeight="1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3.5" customHeight="1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3.5" customHeight="1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3.5" customHeight="1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3.5" customHeight="1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3.5" customHeight="1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3.5" customHeight="1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3.5" customHeight="1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3.5" customHeight="1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3.5" customHeight="1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3.5" customHeight="1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3.5" customHeight="1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3.5" customHeight="1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3.5" customHeight="1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3.5" customHeight="1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3.5" customHeight="1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3.5" customHeight="1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.5" customHeight="1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3.5" customHeight="1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3.5" customHeight="1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3.5" customHeight="1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3.5" customHeight="1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3.5" customHeight="1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3.5" customHeight="1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3.5" customHeight="1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.5" customHeight="1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3.5" customHeight="1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3.5" customHeight="1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3.5" customHeight="1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3.5" customHeight="1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3.5" customHeight="1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3.5" customHeight="1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3.5" customHeight="1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3.5" customHeight="1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3.5" customHeight="1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3.5" customHeight="1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3.5" customHeight="1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3.5" customHeight="1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3.5" customHeight="1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3.5" customHeight="1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3.5" customHeight="1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3.5" customHeight="1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3.5" customHeight="1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3.5" customHeight="1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3.5" customHeight="1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3.5" customHeight="1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3.5" customHeight="1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3.5" customHeight="1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3.5" customHeight="1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3.5" customHeight="1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3.5" customHeight="1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3.5" customHeight="1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3.5" customHeight="1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.5" customHeight="1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3.5" customHeight="1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3.5" customHeight="1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3.5" customHeight="1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3.5" customHeight="1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3.5" customHeight="1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3.5" customHeight="1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3.5" customHeight="1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3.5" customHeight="1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3.5" customHeight="1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3.5" customHeight="1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.5" customHeight="1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3.5" customHeight="1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3.5" customHeight="1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3.5" customHeight="1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3.5" customHeight="1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3.5" customHeight="1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3.5" customHeight="1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3.5" customHeight="1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3.5" customHeight="1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3.5" customHeight="1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3.5" customHeight="1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3.5" customHeight="1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3.5" customHeight="1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3.5" customHeight="1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3.5" customHeight="1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3.5" customHeight="1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3.5" customHeight="1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3.5" customHeight="1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3.5" customHeight="1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3.5" customHeight="1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3.5" customHeight="1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3.5" customHeight="1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3.5" customHeight="1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3.5" customHeight="1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3.5" customHeight="1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3.5" customHeight="1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3.5" customHeight="1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3.5" customHeight="1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3.5" customHeight="1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3.5" customHeight="1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3.5" customHeight="1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3.5" customHeight="1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3.5" customHeight="1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3.5" customHeight="1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3.5" customHeight="1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3.5" customHeight="1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3.5" customHeight="1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3.5" customHeight="1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3.5" customHeight="1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3.5" customHeight="1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3.5" customHeight="1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3.5" customHeight="1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3.5" customHeight="1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3.5" customHeight="1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3.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3.5" customHeight="1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3.5" customHeight="1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3.5" customHeight="1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3.5" customHeight="1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3.5" customHeight="1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3.5" customHeight="1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3.5" customHeight="1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3.5" customHeight="1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3.5" customHeight="1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3.5" customHeight="1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3.5" customHeight="1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3.5" customHeight="1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3.5" customHeight="1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3.5" customHeight="1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3.5" customHeight="1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3.5" customHeight="1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3.5" customHeight="1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3.5" customHeight="1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3.5" customHeight="1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3.5" customHeight="1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3.5" customHeight="1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3.5" customHeight="1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3.5" customHeight="1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3.5" customHeight="1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3.5" customHeight="1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3.5" customHeight="1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3.5" customHeight="1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3.5" customHeight="1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3.5" customHeight="1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3.5" customHeight="1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3.5" customHeight="1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3.5" customHeight="1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3.5" customHeight="1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3.5" customHeight="1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3.5" customHeight="1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3.5" customHeight="1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3.5" customHeight="1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3.5" customHeight="1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3.5" customHeight="1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3.5" customHeight="1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3.5" customHeight="1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3.5" customHeight="1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3.5" customHeight="1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3.5" customHeight="1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3.5" customHeight="1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3.5" customHeight="1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3.5" customHeight="1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3.5" customHeight="1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3.5" customHeight="1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3.5" customHeight="1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3.5" customHeight="1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3.5" customHeight="1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3.5" customHeight="1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3.5" customHeight="1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3.5" customHeight="1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3.5" customHeight="1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3.5" customHeight="1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3.5" customHeight="1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3.5" customHeight="1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3.5" customHeight="1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3.5" customHeight="1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3.5" customHeight="1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3.5" customHeight="1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3.5" customHeight="1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3.5" customHeight="1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3.5" customHeight="1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3.5" customHeight="1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3.5" customHeight="1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3.5" customHeight="1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3.5" customHeight="1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3.5" customHeight="1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3.5" customHeight="1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3.5" customHeight="1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3.5" customHeight="1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3.5" customHeight="1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3.5" customHeight="1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3.5" customHeight="1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3.5" customHeight="1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3.5" customHeight="1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3.5" customHeight="1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3.5" customHeight="1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3.5" customHeight="1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3.5" customHeight="1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3.5" customHeight="1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3.5" customHeight="1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3.5" customHeight="1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3.5" customHeight="1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3.5" customHeight="1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3.5" customHeight="1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3.5" customHeight="1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3.5" customHeight="1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3.5" customHeight="1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3.5" customHeight="1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3.5" customHeight="1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3.5" customHeight="1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3.5" customHeight="1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3.5" customHeight="1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3.5" customHeight="1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3.5" customHeight="1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3.5" customHeight="1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3.5" customHeight="1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3.5" customHeight="1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3.5" customHeight="1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3.5" customHeight="1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3.5" customHeight="1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3.5" customHeight="1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3.5" customHeight="1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3.5" customHeight="1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3.5" customHeight="1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3.5" customHeight="1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3.5" customHeight="1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3.5" customHeight="1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3.5" customHeight="1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3.5" customHeight="1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3.5" customHeight="1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3.5" customHeight="1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3.5" customHeight="1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3.5" customHeight="1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3.5" customHeight="1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3.5" customHeight="1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3.5" customHeight="1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3.5" customHeight="1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3.5" customHeight="1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3.5" customHeight="1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3.5" customHeight="1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3.5" customHeight="1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3.5" customHeight="1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3.5" customHeight="1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3.5" customHeight="1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3.5" customHeight="1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3.5" customHeight="1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3.5" customHeight="1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3.5" customHeight="1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3.5" customHeight="1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3.5" customHeight="1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3.5" customHeight="1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3.5" customHeight="1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3.5" customHeight="1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3.5" customHeight="1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3.5" customHeight="1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3.5" customHeight="1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3.5" customHeight="1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3.5" customHeight="1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3.5" customHeight="1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3.5" customHeight="1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3.5" customHeight="1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3.5" customHeight="1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3.5" customHeight="1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3.5" customHeight="1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3.5" customHeight="1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3.5" customHeight="1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3.5" customHeight="1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3.5" customHeight="1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3.5" customHeight="1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3.5" customHeight="1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3.5" customHeight="1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3.5" customHeight="1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3.5" customHeight="1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3.5" customHeight="1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3.5" customHeight="1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3.5" customHeight="1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3.5" customHeight="1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3.5" customHeight="1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3.5" customHeight="1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3.5" customHeight="1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3.5" customHeight="1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3.5" customHeight="1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3.5" customHeight="1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3.5" customHeight="1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3.5" customHeight="1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3.5" customHeight="1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3.5" customHeight="1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3.5" customHeight="1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3.5" customHeight="1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3.5" customHeight="1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3.5" customHeight="1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3.5" customHeight="1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3.5" customHeight="1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3.5" customHeight="1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3.5" customHeight="1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3.5" customHeight="1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3.5" customHeight="1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3.5" customHeight="1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3.5" customHeight="1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3.5" customHeight="1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3.5" customHeight="1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3.5" customHeight="1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3.5" customHeight="1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3.5" customHeight="1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3.5" customHeight="1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3.5" customHeight="1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3.5" customHeight="1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3.5" customHeight="1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3.5" customHeight="1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3.5" customHeight="1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3.5" customHeight="1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3.5" customHeight="1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3.5" customHeight="1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3.5" customHeight="1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3.5" customHeight="1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3.5" customHeight="1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3.5" customHeight="1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3.5" customHeight="1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3.5" customHeight="1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3.5" customHeight="1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3.5" customHeight="1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3.5" customHeight="1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3.5" customHeight="1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3.5" customHeight="1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3.5" customHeight="1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3.5" customHeight="1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3.5" customHeight="1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3.5" customHeight="1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3.5" customHeight="1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3.5" customHeight="1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3.5" customHeight="1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3.5" customHeight="1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3.5" customHeight="1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3.5" customHeight="1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3.5" customHeight="1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3.5" customHeight="1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3.5" customHeight="1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3.5" customHeight="1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3.5" customHeight="1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3.5" customHeight="1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3.5" customHeight="1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3.5" customHeight="1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3.5" customHeight="1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3.5" customHeight="1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3.5" customHeight="1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3.5" customHeight="1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3.5" customHeight="1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3.5" customHeight="1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3.5" customHeight="1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3.5" customHeight="1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3.5" customHeight="1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3.5" customHeight="1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3.5" customHeight="1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3.5" customHeight="1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3.5" customHeight="1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3.5" customHeight="1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3.5" customHeight="1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3.5" customHeight="1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3.5" customHeight="1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3.5" customHeight="1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3.5" customHeight="1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3.5" customHeight="1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3.5" customHeight="1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3.5" customHeight="1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3.5" customHeight="1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3.5" customHeight="1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3.5" customHeight="1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3.5" customHeight="1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3.5" customHeight="1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3.5" customHeight="1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3.5" customHeight="1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3.5" customHeight="1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3.5" customHeight="1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3.5" customHeight="1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3.5" customHeight="1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3.5" customHeight="1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3.5" customHeight="1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3.5" customHeight="1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3.5" customHeight="1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3.5" customHeight="1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3.5" customHeight="1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3.5" customHeight="1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3.5" customHeight="1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3.5" customHeight="1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3.5" customHeight="1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3.5" customHeight="1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3.5" customHeight="1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3.5" customHeight="1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3.5" customHeight="1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3.5" customHeight="1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3.5" customHeight="1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3.5" customHeight="1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3.5" customHeight="1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3.5" customHeight="1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3.5" customHeight="1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3.5" customHeight="1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3.5" customHeight="1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3.5" customHeight="1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3.5" customHeight="1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3.5" customHeight="1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3.5" customHeight="1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3.5" customHeight="1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3.5" customHeight="1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3.5" customHeight="1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3.5" customHeight="1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3.5" customHeight="1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3.5" customHeight="1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3.5" customHeight="1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3.5" customHeight="1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3.5" customHeight="1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3.5" customHeight="1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3.5" customHeight="1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3.5" customHeight="1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3.5" customHeight="1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3.5" customHeight="1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3.5" customHeight="1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3.5" customHeight="1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3.5" customHeight="1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3.5" customHeight="1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3.5" customHeight="1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3.5" customHeight="1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3.5" customHeight="1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3.5" customHeight="1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3.5" customHeight="1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3.5" customHeight="1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3.5" customHeight="1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3.5" customHeight="1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3.5" customHeight="1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3.5" customHeight="1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3.5" customHeight="1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3.5" customHeight="1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3.5" customHeight="1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3.5" customHeight="1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3.5" customHeight="1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3.5" customHeight="1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3.5" customHeight="1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3.5" customHeight="1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3.5" customHeight="1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3.5" customHeight="1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3.5" customHeight="1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3.5" customHeight="1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3.5" customHeight="1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3.5" customHeight="1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3.5" customHeight="1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3.5" customHeight="1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3.5" customHeight="1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3.5" customHeight="1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3.5" customHeight="1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3.5" customHeight="1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3.5" customHeight="1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3.5" customHeight="1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3.5" customHeight="1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3.5" customHeight="1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3.5" customHeight="1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3.5" customHeight="1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3.5" customHeight="1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3.5" customHeight="1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3.5" customHeight="1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3.5" customHeight="1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3.5" customHeight="1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3.5" customHeight="1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3.5" customHeight="1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3.5" customHeight="1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3.5" customHeight="1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3.5" customHeight="1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3.5" customHeight="1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3.5" customHeight="1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3.5" customHeight="1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3.5" customHeight="1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3.5" customHeight="1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3.5" customHeight="1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3.5" customHeight="1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3.5" customHeight="1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3.5" customHeight="1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3.5" customHeight="1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3.5" customHeight="1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3.5" customHeight="1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3.5" customHeight="1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3.5" customHeight="1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3.5" customHeight="1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3.5" customHeight="1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3.5" customHeight="1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3.5" customHeight="1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3.5" customHeight="1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3.5" customHeight="1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3.5" customHeight="1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3.5" customHeight="1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3.5" customHeight="1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3.5" customHeight="1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3.5" customHeight="1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3.5" customHeight="1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3.5" customHeight="1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3.5" customHeight="1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3.5" customHeight="1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3.5" customHeight="1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3.5" customHeight="1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3.5" customHeight="1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3.5" customHeight="1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3.5" customHeight="1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3.5" customHeight="1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3.5" customHeight="1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3.5" customHeight="1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3.5" customHeight="1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3.5" customHeight="1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3.5" customHeight="1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3.5" customHeight="1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3.5" customHeight="1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3.5" customHeight="1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3.5" customHeight="1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3.5" customHeight="1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3.5" customHeight="1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3.5" customHeight="1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3.5" customHeight="1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3.5" customHeight="1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3.5" customHeight="1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3.5" customHeight="1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3.5" customHeight="1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3.5" customHeight="1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3.5" customHeight="1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3.5" customHeight="1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3.5" customHeight="1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3.5" customHeight="1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3.5" customHeight="1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3.5" customHeight="1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3.5" customHeight="1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3.5" customHeight="1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3.5" customHeight="1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3.5" customHeight="1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3.5" customHeight="1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3.5" customHeight="1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3.5" customHeight="1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3.5" customHeight="1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3.5" customHeight="1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3.5" customHeight="1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3.5" customHeight="1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3.5" customHeight="1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3.5" customHeight="1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3.5" customHeight="1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3.5" customHeight="1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3.5" customHeight="1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3.5" customHeight="1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3.5" customHeight="1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3.5" customHeight="1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3.5" customHeight="1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3.5" customHeight="1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3.5" customHeight="1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3.5" customHeight="1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3.5" customHeight="1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3.5" customHeight="1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3.5" customHeight="1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3.5" customHeight="1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3.5" customHeight="1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3.5" customHeight="1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3.5" customHeight="1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3.5" customHeight="1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3.5" customHeight="1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3.5" customHeight="1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3.5" customHeight="1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3.5" customHeight="1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3.5" customHeight="1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3.5" customHeight="1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3.5" customHeight="1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3.5" customHeight="1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3.5" customHeight="1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3.5" customHeight="1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3.5" customHeight="1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3.5" customHeight="1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3.5" customHeight="1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3.5" customHeight="1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3.5" customHeight="1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3.5" customHeight="1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3.5" customHeight="1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3.5" customHeight="1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3.5" customHeight="1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3.5" customHeight="1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3.5" customHeight="1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3.5" customHeight="1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3.5" customHeight="1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3.5" customHeight="1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3.5" customHeight="1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3.5" customHeight="1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3.5" customHeight="1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3.5" customHeight="1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3.5" customHeight="1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3.5" customHeight="1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3.5" customHeight="1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3.5" customHeight="1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3.5" customHeight="1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3.5" customHeight="1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3.5" customHeight="1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3.5" customHeight="1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3.5" customHeight="1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3.5" customHeight="1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3.5" customHeight="1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3.5" customHeight="1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3.5" customHeight="1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3.5" customHeight="1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3.5" customHeight="1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3.5" customHeight="1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3.5" customHeight="1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3.5" customHeight="1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3.5" customHeight="1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3.5" customHeight="1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3.5" customHeight="1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3.5" customHeight="1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3.5" customHeight="1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3.5" customHeight="1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3.5" customHeight="1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3.5" customHeight="1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3.5" customHeight="1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3.5" customHeight="1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3.5" customHeight="1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3.5" customHeight="1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3.5" customHeight="1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3.5" customHeight="1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3.5" customHeight="1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3.5" customHeight="1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3.5" customHeight="1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3.5" customHeight="1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3.5" customHeight="1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3.5" customHeight="1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3.5" customHeight="1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3.5" customHeight="1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3.5" customHeight="1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3.5" customHeight="1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3.5" customHeight="1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3.5" customHeight="1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3.5" customHeight="1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3.5" customHeight="1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3.5" customHeight="1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3.5" customHeight="1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3.5" customHeight="1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3.5" customHeight="1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3.5" customHeight="1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3.5" customHeight="1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3.5" customHeight="1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3.5" customHeight="1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3.5" customHeight="1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3.5" customHeight="1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3.5" customHeight="1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3.5" customHeight="1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3.5" customHeight="1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3.5" customHeight="1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3.5" customHeight="1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3.5" customHeight="1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3.5" customHeight="1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3.5" customHeight="1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3.5" customHeight="1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3.5" customHeight="1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3.5" customHeight="1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3.5" customHeight="1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3.5" customHeight="1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3.5" customHeight="1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3.5" customHeight="1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3.5" customHeight="1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3.5" customHeight="1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3.5" customHeight="1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3.5" customHeight="1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3.5" customHeight="1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3.5" customHeight="1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3.5" customHeight="1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3.5" customHeight="1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3.5" customHeight="1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3.5" customHeight="1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3.5" customHeight="1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3.5" customHeight="1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3.5" customHeight="1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3.5" customHeight="1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3.5" customHeight="1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3.5" customHeight="1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3.5" customHeight="1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3.5" customHeight="1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3.5" customHeight="1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3.5" customHeight="1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3.5" customHeight="1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3.5" customHeight="1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3.5" customHeight="1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3.5" customHeight="1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3.5" customHeight="1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3.5" customHeight="1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</sheetData>
  <autoFilter ref="A3:F17" xr:uid="{00000000-0009-0000-0000-000008000000}">
    <sortState xmlns:xlrd2="http://schemas.microsoft.com/office/spreadsheetml/2017/richdata2" ref="A3:F17">
      <sortCondition ref="F3:F17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73"/>
  <sheetViews>
    <sheetView tabSelected="1" workbookViewId="0">
      <selection activeCell="A10" sqref="A10"/>
    </sheetView>
  </sheetViews>
  <sheetFormatPr baseColWidth="10" defaultColWidth="12.6640625" defaultRowHeight="15" customHeight="1" x14ac:dyDescent="0.15"/>
  <cols>
    <col min="1" max="1" width="33.1640625" customWidth="1"/>
    <col min="2" max="2" width="29.6640625" customWidth="1"/>
    <col min="3" max="3" width="53.6640625" customWidth="1"/>
    <col min="4" max="4" width="17.6640625" customWidth="1"/>
    <col min="5" max="23" width="10.83203125" customWidth="1"/>
  </cols>
  <sheetData>
    <row r="1" spans="1:23" ht="15.75" customHeight="1" x14ac:dyDescent="0.2">
      <c r="A1" s="81" t="s">
        <v>1</v>
      </c>
      <c r="B1" s="81" t="s">
        <v>2</v>
      </c>
      <c r="C1" s="81" t="s">
        <v>23</v>
      </c>
      <c r="D1" s="82">
        <v>46022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 spans="1:23" ht="15.75" customHeight="1" x14ac:dyDescent="0.2">
      <c r="A2" s="83" t="s">
        <v>44</v>
      </c>
      <c r="B2" s="83" t="s">
        <v>3</v>
      </c>
      <c r="C2" s="83" t="s">
        <v>162</v>
      </c>
      <c r="D2" s="84">
        <v>17389232.100000001</v>
      </c>
      <c r="E2" s="85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</row>
    <row r="3" spans="1:23" ht="15.75" customHeight="1" x14ac:dyDescent="0.2">
      <c r="A3" s="83" t="s">
        <v>44</v>
      </c>
      <c r="B3" s="83" t="s">
        <v>24</v>
      </c>
      <c r="C3" s="83" t="s">
        <v>163</v>
      </c>
      <c r="D3" s="84">
        <v>-675</v>
      </c>
      <c r="E3" s="85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3" ht="15.75" customHeight="1" x14ac:dyDescent="0.2">
      <c r="A4" s="83" t="s">
        <v>44</v>
      </c>
      <c r="B4" s="83" t="s">
        <v>25</v>
      </c>
      <c r="C4" s="83" t="s">
        <v>164</v>
      </c>
      <c r="D4" s="84">
        <v>-73224.81</v>
      </c>
      <c r="E4" s="85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</row>
    <row r="5" spans="1:23" ht="15.75" customHeight="1" x14ac:dyDescent="0.2">
      <c r="A5" s="83" t="s">
        <v>44</v>
      </c>
      <c r="B5" s="83" t="s">
        <v>26</v>
      </c>
      <c r="C5" s="83" t="s">
        <v>165</v>
      </c>
      <c r="D5" s="84">
        <v>450</v>
      </c>
      <c r="E5" s="85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</row>
    <row r="6" spans="1:23" ht="15.75" customHeight="1" x14ac:dyDescent="0.2">
      <c r="A6" s="83" t="s">
        <v>44</v>
      </c>
      <c r="B6" s="83" t="s">
        <v>27</v>
      </c>
      <c r="C6" s="83" t="s">
        <v>166</v>
      </c>
      <c r="D6" s="84">
        <v>54531.63</v>
      </c>
      <c r="E6" s="85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</row>
    <row r="7" spans="1:23" ht="15.75" customHeight="1" x14ac:dyDescent="0.2">
      <c r="A7" s="83" t="s">
        <v>44</v>
      </c>
      <c r="B7" s="83" t="s">
        <v>12</v>
      </c>
      <c r="C7" s="83" t="s">
        <v>167</v>
      </c>
      <c r="D7" s="84">
        <v>576119.01</v>
      </c>
      <c r="E7" s="85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</row>
    <row r="8" spans="1:23" ht="15.75" customHeight="1" x14ac:dyDescent="0.2">
      <c r="A8" s="83" t="s">
        <v>44</v>
      </c>
      <c r="B8" s="83" t="s">
        <v>6</v>
      </c>
      <c r="C8" s="83" t="s">
        <v>168</v>
      </c>
      <c r="D8" s="84">
        <v>1060268.58</v>
      </c>
      <c r="E8" s="85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</row>
    <row r="9" spans="1:23" ht="15.75" customHeight="1" x14ac:dyDescent="0.2">
      <c r="A9" s="83" t="s">
        <v>44</v>
      </c>
      <c r="B9" s="83" t="s">
        <v>7</v>
      </c>
      <c r="C9" s="83" t="s">
        <v>169</v>
      </c>
      <c r="D9" s="84">
        <v>-6760.26</v>
      </c>
      <c r="E9" s="85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</row>
    <row r="10" spans="1:23" ht="15.75" customHeight="1" x14ac:dyDescent="0.2">
      <c r="A10" s="83" t="s">
        <v>44</v>
      </c>
      <c r="B10" s="83" t="s">
        <v>8</v>
      </c>
      <c r="C10" s="83" t="s">
        <v>170</v>
      </c>
      <c r="D10" s="84">
        <v>-111768.15</v>
      </c>
      <c r="E10" s="85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</row>
    <row r="11" spans="1:23" ht="15.75" customHeight="1" x14ac:dyDescent="0.2">
      <c r="A11" s="83" t="s">
        <v>44</v>
      </c>
      <c r="B11" s="83" t="s">
        <v>9</v>
      </c>
      <c r="C11" s="83" t="s">
        <v>171</v>
      </c>
      <c r="D11" s="84">
        <v>-17389232.100000001</v>
      </c>
      <c r="E11" s="85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3" ht="15.75" customHeight="1" x14ac:dyDescent="0.2">
      <c r="A12" s="83" t="s">
        <v>44</v>
      </c>
      <c r="B12" s="83" t="s">
        <v>10</v>
      </c>
      <c r="C12" s="83" t="s">
        <v>172</v>
      </c>
      <c r="D12" s="84">
        <v>119440.23</v>
      </c>
      <c r="E12" s="85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</row>
    <row r="13" spans="1:23" ht="15.75" customHeight="1" x14ac:dyDescent="0.2">
      <c r="A13" s="83" t="s">
        <v>11</v>
      </c>
      <c r="B13" s="83" t="s">
        <v>3</v>
      </c>
      <c r="C13" s="83" t="s">
        <v>173</v>
      </c>
      <c r="D13" s="84">
        <v>8444835.1500000004</v>
      </c>
      <c r="E13" s="85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</row>
    <row r="14" spans="1:23" ht="15.75" customHeight="1" x14ac:dyDescent="0.2">
      <c r="A14" s="83" t="s">
        <v>11</v>
      </c>
      <c r="B14" s="83" t="s">
        <v>24</v>
      </c>
      <c r="C14" s="83" t="s">
        <v>174</v>
      </c>
      <c r="D14" s="84">
        <v>-2205</v>
      </c>
      <c r="E14" s="85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</row>
    <row r="15" spans="1:23" ht="15.75" customHeight="1" x14ac:dyDescent="0.2">
      <c r="A15" s="83" t="s">
        <v>11</v>
      </c>
      <c r="B15" s="83" t="s">
        <v>25</v>
      </c>
      <c r="C15" s="83" t="s">
        <v>175</v>
      </c>
      <c r="D15" s="84">
        <v>-29128.83</v>
      </c>
      <c r="E15" s="85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</row>
    <row r="16" spans="1:23" ht="15.75" customHeight="1" x14ac:dyDescent="0.2">
      <c r="A16" s="83" t="s">
        <v>11</v>
      </c>
      <c r="B16" s="83" t="s">
        <v>26</v>
      </c>
      <c r="C16" s="83" t="s">
        <v>176</v>
      </c>
      <c r="D16" s="84">
        <v>0</v>
      </c>
      <c r="E16" s="85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</row>
    <row r="17" spans="1:23" ht="15.75" customHeight="1" x14ac:dyDescent="0.2">
      <c r="A17" s="83" t="s">
        <v>11</v>
      </c>
      <c r="B17" s="83" t="s">
        <v>27</v>
      </c>
      <c r="C17" s="83" t="s">
        <v>177</v>
      </c>
      <c r="D17" s="84">
        <v>7460.19</v>
      </c>
      <c r="E17" s="85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</row>
    <row r="18" spans="1:23" ht="15.75" customHeight="1" x14ac:dyDescent="0.2">
      <c r="A18" s="83" t="s">
        <v>11</v>
      </c>
      <c r="B18" s="83" t="s">
        <v>12</v>
      </c>
      <c r="C18" s="83" t="s">
        <v>178</v>
      </c>
      <c r="D18" s="84">
        <v>-2378.8200000000002</v>
      </c>
      <c r="E18" s="85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</row>
    <row r="19" spans="1:23" ht="15.75" customHeight="1" x14ac:dyDescent="0.2">
      <c r="A19" s="83" t="s">
        <v>11</v>
      </c>
      <c r="B19" s="83" t="s">
        <v>13</v>
      </c>
      <c r="C19" s="83" t="s">
        <v>179</v>
      </c>
      <c r="D19" s="84">
        <v>-138824.01</v>
      </c>
      <c r="E19" s="85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</row>
    <row r="20" spans="1:23" ht="15.75" customHeight="1" x14ac:dyDescent="0.2">
      <c r="A20" s="83" t="s">
        <v>11</v>
      </c>
      <c r="B20" s="83" t="s">
        <v>6</v>
      </c>
      <c r="C20" s="83" t="s">
        <v>180</v>
      </c>
      <c r="D20" s="84">
        <v>266280.06</v>
      </c>
      <c r="E20" s="85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3" ht="15.75" customHeight="1" x14ac:dyDescent="0.2">
      <c r="A21" s="83" t="s">
        <v>11</v>
      </c>
      <c r="B21" s="83" t="s">
        <v>7</v>
      </c>
      <c r="C21" s="83" t="s">
        <v>181</v>
      </c>
      <c r="D21" s="84">
        <v>-2591.67</v>
      </c>
      <c r="E21" s="85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</row>
    <row r="22" spans="1:23" ht="15.75" customHeight="1" x14ac:dyDescent="0.2">
      <c r="A22" s="83" t="s">
        <v>11</v>
      </c>
      <c r="B22" s="83" t="s">
        <v>8</v>
      </c>
      <c r="C22" s="83" t="s">
        <v>182</v>
      </c>
      <c r="D22" s="84">
        <v>-66831.179999999993</v>
      </c>
      <c r="E22" s="85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</row>
    <row r="23" spans="1:23" ht="15.75" customHeight="1" x14ac:dyDescent="0.2">
      <c r="A23" s="83" t="s">
        <v>11</v>
      </c>
      <c r="B23" s="83" t="s">
        <v>9</v>
      </c>
      <c r="C23" s="83" t="s">
        <v>183</v>
      </c>
      <c r="D23" s="84">
        <v>-8444835.1500000004</v>
      </c>
      <c r="E23" s="85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</row>
    <row r="24" spans="1:23" ht="15.75" customHeight="1" x14ac:dyDescent="0.2">
      <c r="A24" s="83" t="s">
        <v>11</v>
      </c>
      <c r="B24" s="83" t="s">
        <v>10</v>
      </c>
      <c r="C24" s="83" t="s">
        <v>184</v>
      </c>
      <c r="D24" s="84">
        <v>89879.46</v>
      </c>
      <c r="E24" s="85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</row>
    <row r="25" spans="1:23" ht="15.75" customHeight="1" x14ac:dyDescent="0.2">
      <c r="A25" s="83" t="s">
        <v>14</v>
      </c>
      <c r="B25" s="83" t="s">
        <v>9</v>
      </c>
      <c r="C25" s="83" t="s">
        <v>185</v>
      </c>
      <c r="D25" s="84">
        <v>-23256.959999999999</v>
      </c>
      <c r="E25" s="85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</row>
    <row r="26" spans="1:23" ht="15.75" customHeight="1" x14ac:dyDescent="0.2">
      <c r="A26" s="83" t="s">
        <v>14</v>
      </c>
      <c r="B26" s="83" t="s">
        <v>10</v>
      </c>
      <c r="C26" s="83" t="s">
        <v>186</v>
      </c>
      <c r="D26" s="86">
        <v>0</v>
      </c>
      <c r="E26" s="85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</row>
    <row r="27" spans="1:23" ht="15.75" customHeight="1" x14ac:dyDescent="0.2">
      <c r="A27" s="83" t="s">
        <v>15</v>
      </c>
      <c r="B27" s="83" t="s">
        <v>3</v>
      </c>
      <c r="C27" s="83" t="s">
        <v>187</v>
      </c>
      <c r="D27" s="84">
        <v>111736.11</v>
      </c>
      <c r="E27" s="85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</row>
    <row r="28" spans="1:23" ht="15.75" customHeight="1" x14ac:dyDescent="0.2">
      <c r="A28" s="83" t="s">
        <v>15</v>
      </c>
      <c r="B28" s="83" t="s">
        <v>24</v>
      </c>
      <c r="C28" s="83" t="s">
        <v>188</v>
      </c>
      <c r="D28" s="86">
        <v>0</v>
      </c>
      <c r="E28" s="85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</row>
    <row r="29" spans="1:23" ht="15.75" customHeight="1" x14ac:dyDescent="0.2">
      <c r="A29" s="83" t="s">
        <v>15</v>
      </c>
      <c r="B29" s="83" t="s">
        <v>25</v>
      </c>
      <c r="C29" s="83" t="s">
        <v>189</v>
      </c>
      <c r="D29" s="86">
        <v>0</v>
      </c>
      <c r="E29" s="85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</row>
    <row r="30" spans="1:23" ht="15.75" customHeight="1" x14ac:dyDescent="0.2">
      <c r="A30" s="83" t="s">
        <v>15</v>
      </c>
      <c r="B30" s="83" t="s">
        <v>26</v>
      </c>
      <c r="C30" s="83" t="s">
        <v>190</v>
      </c>
      <c r="D30" s="86">
        <v>0</v>
      </c>
      <c r="E30" s="85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</row>
    <row r="31" spans="1:23" ht="15.75" customHeight="1" x14ac:dyDescent="0.2">
      <c r="A31" s="83" t="s">
        <v>15</v>
      </c>
      <c r="B31" s="83" t="s">
        <v>27</v>
      </c>
      <c r="C31" s="83" t="s">
        <v>191</v>
      </c>
      <c r="D31" s="86">
        <v>0</v>
      </c>
      <c r="E31" s="85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</row>
    <row r="32" spans="1:23" ht="15.75" customHeight="1" x14ac:dyDescent="0.2">
      <c r="A32" s="83" t="s">
        <v>15</v>
      </c>
      <c r="B32" s="83" t="s">
        <v>12</v>
      </c>
      <c r="C32" s="83" t="s">
        <v>192</v>
      </c>
      <c r="D32" s="87">
        <v>-263.23</v>
      </c>
      <c r="E32" s="88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 spans="1:23" ht="15.75" customHeight="1" x14ac:dyDescent="0.2">
      <c r="A33" s="83" t="s">
        <v>15</v>
      </c>
      <c r="B33" s="83" t="s">
        <v>13</v>
      </c>
      <c r="C33" s="83" t="s">
        <v>193</v>
      </c>
      <c r="D33" s="87">
        <v>-3383.29</v>
      </c>
      <c r="E33" s="88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 spans="1:23" ht="15.75" customHeight="1" x14ac:dyDescent="0.2">
      <c r="A34" s="83" t="s">
        <v>15</v>
      </c>
      <c r="B34" s="83" t="s">
        <v>8</v>
      </c>
      <c r="C34" s="83" t="s">
        <v>194</v>
      </c>
      <c r="D34" s="87">
        <v>-143.88</v>
      </c>
      <c r="E34" s="88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spans="1:23" ht="15.75" customHeight="1" x14ac:dyDescent="0.2">
      <c r="A35" s="83" t="s">
        <v>46</v>
      </c>
      <c r="B35" s="83" t="s">
        <v>6</v>
      </c>
      <c r="C35" s="83" t="s">
        <v>195</v>
      </c>
      <c r="D35" s="87">
        <v>779402.1</v>
      </c>
      <c r="E35" s="88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spans="1:23" ht="15.75" customHeight="1" x14ac:dyDescent="0.2">
      <c r="A36" s="83" t="s">
        <v>46</v>
      </c>
      <c r="B36" s="83" t="s">
        <v>7</v>
      </c>
      <c r="C36" s="83" t="s">
        <v>196</v>
      </c>
      <c r="D36" s="87">
        <v>-5763.99</v>
      </c>
      <c r="E36" s="88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spans="1:23" ht="15.75" customHeight="1" x14ac:dyDescent="0.2">
      <c r="A37" s="83" t="s">
        <v>16</v>
      </c>
      <c r="B37" s="83" t="s">
        <v>3</v>
      </c>
      <c r="C37" s="83" t="s">
        <v>197</v>
      </c>
      <c r="D37" s="89">
        <v>0</v>
      </c>
      <c r="E37" s="88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spans="1:23" ht="15.75" customHeight="1" x14ac:dyDescent="0.2">
      <c r="A38" s="83" t="s">
        <v>16</v>
      </c>
      <c r="B38" s="83" t="s">
        <v>17</v>
      </c>
      <c r="C38" s="83" t="s">
        <v>198</v>
      </c>
      <c r="D38" s="87">
        <v>-526651.5</v>
      </c>
      <c r="E38" s="88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spans="1:23" ht="15.75" customHeight="1" x14ac:dyDescent="0.2">
      <c r="A39" s="83" t="s">
        <v>16</v>
      </c>
      <c r="B39" s="83" t="s">
        <v>12</v>
      </c>
      <c r="C39" s="83" t="s">
        <v>199</v>
      </c>
      <c r="D39" s="87">
        <v>-1138670.8500000001</v>
      </c>
      <c r="E39" s="88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spans="1:23" ht="15.75" customHeight="1" x14ac:dyDescent="0.2">
      <c r="A40" s="83" t="s">
        <v>16</v>
      </c>
      <c r="B40" s="83" t="s">
        <v>13</v>
      </c>
      <c r="C40" s="83" t="s">
        <v>200</v>
      </c>
      <c r="D40" s="87">
        <v>-2857156.69</v>
      </c>
      <c r="E40" s="88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spans="1:23" ht="15.75" customHeight="1" x14ac:dyDescent="0.2">
      <c r="A41" s="83" t="s">
        <v>16</v>
      </c>
      <c r="B41" s="83" t="s">
        <v>6</v>
      </c>
      <c r="C41" s="83" t="s">
        <v>201</v>
      </c>
      <c r="D41" s="86">
        <v>0</v>
      </c>
      <c r="E41" s="85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spans="1:23" ht="15.75" customHeight="1" x14ac:dyDescent="0.2">
      <c r="A42" s="83" t="s">
        <v>16</v>
      </c>
      <c r="B42" s="83" t="s">
        <v>8</v>
      </c>
      <c r="C42" s="83" t="s">
        <v>202</v>
      </c>
      <c r="D42" s="86">
        <v>0</v>
      </c>
      <c r="E42" s="85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spans="1:23" ht="15.75" customHeight="1" x14ac:dyDescent="0.2">
      <c r="A43" s="83" t="s">
        <v>16</v>
      </c>
      <c r="B43" s="83" t="s">
        <v>18</v>
      </c>
      <c r="C43" s="83" t="s">
        <v>203</v>
      </c>
      <c r="D43" s="84">
        <v>7302.96</v>
      </c>
      <c r="E43" s="85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spans="1:23" ht="15.75" customHeight="1" x14ac:dyDescent="0.2">
      <c r="A44" s="83" t="s">
        <v>16</v>
      </c>
      <c r="B44" s="83" t="s">
        <v>9</v>
      </c>
      <c r="C44" s="83" t="s">
        <v>204</v>
      </c>
      <c r="D44" s="86">
        <v>0</v>
      </c>
      <c r="E44" s="85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spans="1:23" ht="15.75" customHeight="1" x14ac:dyDescent="0.2">
      <c r="A45" s="83" t="s">
        <v>19</v>
      </c>
      <c r="B45" s="83" t="s">
        <v>3</v>
      </c>
      <c r="C45" s="83" t="s">
        <v>205</v>
      </c>
      <c r="D45" s="84">
        <v>133742.43</v>
      </c>
      <c r="E45" s="85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spans="1:23" ht="15.75" customHeight="1" x14ac:dyDescent="0.2">
      <c r="A46" s="83" t="s">
        <v>19</v>
      </c>
      <c r="B46" s="83" t="s">
        <v>24</v>
      </c>
      <c r="C46" s="83" t="s">
        <v>206</v>
      </c>
      <c r="D46" s="86">
        <v>0</v>
      </c>
      <c r="E46" s="85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spans="1:23" ht="15.75" customHeight="1" x14ac:dyDescent="0.2">
      <c r="A47" s="83" t="s">
        <v>19</v>
      </c>
      <c r="B47" s="83" t="s">
        <v>25</v>
      </c>
      <c r="C47" s="83" t="s">
        <v>207</v>
      </c>
      <c r="D47" s="86">
        <v>0</v>
      </c>
      <c r="E47" s="85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spans="1:23" ht="15.75" customHeight="1" x14ac:dyDescent="0.2">
      <c r="A48" s="83" t="s">
        <v>19</v>
      </c>
      <c r="B48" s="83" t="s">
        <v>12</v>
      </c>
      <c r="C48" s="83" t="s">
        <v>208</v>
      </c>
      <c r="D48" s="84">
        <v>-80.430000000000007</v>
      </c>
      <c r="E48" s="85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spans="1:23" ht="15.75" customHeight="1" x14ac:dyDescent="0.2">
      <c r="A49" s="83" t="s">
        <v>19</v>
      </c>
      <c r="B49" s="83" t="s">
        <v>13</v>
      </c>
      <c r="C49" s="83" t="s">
        <v>209</v>
      </c>
      <c r="D49" s="84">
        <v>-1965.6</v>
      </c>
      <c r="E49" s="8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spans="1:23" ht="15.75" customHeight="1" x14ac:dyDescent="0.2">
      <c r="A50" s="83" t="s">
        <v>19</v>
      </c>
      <c r="B50" s="83" t="s">
        <v>8</v>
      </c>
      <c r="C50" s="83" t="s">
        <v>210</v>
      </c>
      <c r="D50" s="84">
        <v>-1926</v>
      </c>
      <c r="E50" s="85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spans="1:23" ht="15.75" customHeight="1" x14ac:dyDescent="0.2">
      <c r="A51" s="83" t="s">
        <v>45</v>
      </c>
      <c r="B51" s="83" t="s">
        <v>3</v>
      </c>
      <c r="C51" s="83" t="s">
        <v>211</v>
      </c>
      <c r="D51" s="84">
        <v>913610914.32000005</v>
      </c>
      <c r="E51" s="85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spans="1:23" ht="15.75" customHeight="1" x14ac:dyDescent="0.2">
      <c r="A52" s="83" t="s">
        <v>45</v>
      </c>
      <c r="B52" s="83" t="s">
        <v>24</v>
      </c>
      <c r="C52" s="83" t="s">
        <v>212</v>
      </c>
      <c r="D52" s="84">
        <v>-42345</v>
      </c>
      <c r="E52" s="85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spans="1:23" ht="15.75" customHeight="1" x14ac:dyDescent="0.2">
      <c r="A53" s="83" t="s">
        <v>45</v>
      </c>
      <c r="B53" s="83" t="s">
        <v>25</v>
      </c>
      <c r="C53" s="83" t="s">
        <v>213</v>
      </c>
      <c r="D53" s="84">
        <v>-455022.99</v>
      </c>
      <c r="E53" s="85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spans="1:23" ht="15.75" customHeight="1" x14ac:dyDescent="0.2">
      <c r="A54" s="83" t="s">
        <v>45</v>
      </c>
      <c r="B54" s="83" t="s">
        <v>26</v>
      </c>
      <c r="C54" s="83" t="s">
        <v>214</v>
      </c>
      <c r="D54" s="84">
        <v>0</v>
      </c>
      <c r="E54" s="85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spans="1:23" ht="15.75" customHeight="1" x14ac:dyDescent="0.2">
      <c r="A55" s="83" t="s">
        <v>45</v>
      </c>
      <c r="B55" s="83" t="s">
        <v>27</v>
      </c>
      <c r="C55" s="83" t="s">
        <v>215</v>
      </c>
      <c r="D55" s="84">
        <v>111510.03</v>
      </c>
      <c r="E55" s="85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spans="1:23" ht="15.75" customHeight="1" x14ac:dyDescent="0.2">
      <c r="A56" s="83" t="s">
        <v>45</v>
      </c>
      <c r="B56" s="83" t="s">
        <v>12</v>
      </c>
      <c r="C56" s="83" t="s">
        <v>216</v>
      </c>
      <c r="D56" s="87">
        <v>-353330.84</v>
      </c>
      <c r="E56" s="88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spans="1:23" ht="15.75" customHeight="1" x14ac:dyDescent="0.2">
      <c r="A57" s="83" t="s">
        <v>45</v>
      </c>
      <c r="B57" s="83" t="s">
        <v>13</v>
      </c>
      <c r="C57" s="83" t="s">
        <v>217</v>
      </c>
      <c r="D57" s="87">
        <v>-13725550.199999999</v>
      </c>
      <c r="E57" s="88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spans="1:23" ht="15.75" customHeight="1" x14ac:dyDescent="0.2">
      <c r="A58" s="83" t="s">
        <v>45</v>
      </c>
      <c r="B58" s="83" t="s">
        <v>6</v>
      </c>
      <c r="C58" s="83" t="s">
        <v>218</v>
      </c>
      <c r="D58" s="84">
        <v>26207053.289999999</v>
      </c>
      <c r="E58" s="85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spans="1:23" ht="15.75" customHeight="1" x14ac:dyDescent="0.2">
      <c r="A59" s="83" t="s">
        <v>45</v>
      </c>
      <c r="B59" s="83" t="s">
        <v>7</v>
      </c>
      <c r="C59" s="83" t="s">
        <v>219</v>
      </c>
      <c r="D59" s="84">
        <v>-111908.52</v>
      </c>
      <c r="E59" s="85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spans="1:23" ht="15.75" customHeight="1" x14ac:dyDescent="0.2">
      <c r="A60" s="83" t="s">
        <v>45</v>
      </c>
      <c r="B60" s="83" t="s">
        <v>8</v>
      </c>
      <c r="C60" s="83" t="s">
        <v>220</v>
      </c>
      <c r="D60" s="84">
        <v>-3630794.67</v>
      </c>
      <c r="E60" s="85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spans="1:23" ht="15.75" customHeight="1" x14ac:dyDescent="0.2">
      <c r="A61" s="83" t="s">
        <v>45</v>
      </c>
      <c r="B61" s="83" t="s">
        <v>9</v>
      </c>
      <c r="C61" s="83" t="s">
        <v>221</v>
      </c>
      <c r="D61" s="84">
        <v>-913610914.32000005</v>
      </c>
      <c r="E61" s="85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spans="1:23" ht="15.75" customHeight="1" x14ac:dyDescent="0.2">
      <c r="A62" s="83" t="s">
        <v>45</v>
      </c>
      <c r="B62" s="83" t="s">
        <v>10</v>
      </c>
      <c r="C62" s="83" t="s">
        <v>222</v>
      </c>
      <c r="D62" s="84">
        <v>3990660.99</v>
      </c>
      <c r="E62" s="85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 spans="1:23" ht="15.75" customHeight="1" x14ac:dyDescent="0.2">
      <c r="A63" s="83" t="s">
        <v>50</v>
      </c>
      <c r="B63" s="83" t="s">
        <v>3</v>
      </c>
      <c r="C63" s="83" t="s">
        <v>223</v>
      </c>
      <c r="D63" s="84">
        <v>8944461.3300000001</v>
      </c>
      <c r="E63" s="85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spans="1:23" ht="15.75" customHeight="1" x14ac:dyDescent="0.2">
      <c r="A64" s="83" t="s">
        <v>50</v>
      </c>
      <c r="B64" s="83" t="s">
        <v>24</v>
      </c>
      <c r="C64" s="83" t="s">
        <v>224</v>
      </c>
      <c r="D64" s="84">
        <v>-6120</v>
      </c>
      <c r="E64" s="85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spans="1:23" ht="15.75" customHeight="1" x14ac:dyDescent="0.2">
      <c r="A65" s="83" t="s">
        <v>50</v>
      </c>
      <c r="B65" s="83" t="s">
        <v>25</v>
      </c>
      <c r="C65" s="83" t="s">
        <v>225</v>
      </c>
      <c r="D65" s="84">
        <v>-30002.34</v>
      </c>
      <c r="E65" s="85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spans="1:23" ht="15.75" customHeight="1" x14ac:dyDescent="0.2">
      <c r="A66" s="83" t="s">
        <v>50</v>
      </c>
      <c r="B66" s="83" t="s">
        <v>26</v>
      </c>
      <c r="C66" s="83" t="s">
        <v>226</v>
      </c>
      <c r="D66" s="84">
        <v>0</v>
      </c>
      <c r="E66" s="85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spans="1:23" ht="15.75" customHeight="1" x14ac:dyDescent="0.2">
      <c r="A67" s="83" t="s">
        <v>50</v>
      </c>
      <c r="B67" s="83" t="s">
        <v>27</v>
      </c>
      <c r="C67" s="83" t="s">
        <v>227</v>
      </c>
      <c r="D67" s="84">
        <v>1884.12</v>
      </c>
      <c r="E67" s="85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 spans="1:23" ht="15.75" customHeight="1" x14ac:dyDescent="0.2">
      <c r="A68" s="83" t="s">
        <v>50</v>
      </c>
      <c r="B68" s="83" t="s">
        <v>12</v>
      </c>
      <c r="C68" s="83" t="s">
        <v>228</v>
      </c>
      <c r="D68" s="87">
        <v>-5569.57</v>
      </c>
      <c r="E68" s="88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spans="1:23" ht="15.75" customHeight="1" x14ac:dyDescent="0.2">
      <c r="A69" s="83" t="s">
        <v>50</v>
      </c>
      <c r="B69" s="83" t="s">
        <v>13</v>
      </c>
      <c r="C69" s="83" t="s">
        <v>229</v>
      </c>
      <c r="D69" s="87">
        <v>-134076.97</v>
      </c>
      <c r="E69" s="88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spans="1:23" ht="15.75" customHeight="1" x14ac:dyDescent="0.2">
      <c r="A70" s="83" t="s">
        <v>50</v>
      </c>
      <c r="B70" s="83" t="s">
        <v>8</v>
      </c>
      <c r="C70" s="83" t="s">
        <v>230</v>
      </c>
      <c r="D70" s="87">
        <v>-121404.39</v>
      </c>
      <c r="E70" s="88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spans="1:23" ht="15.75" customHeight="1" x14ac:dyDescent="0.2">
      <c r="A71" s="83" t="s">
        <v>51</v>
      </c>
      <c r="B71" s="83" t="s">
        <v>3</v>
      </c>
      <c r="C71" s="83" t="s">
        <v>231</v>
      </c>
      <c r="D71" s="87">
        <v>480967.65</v>
      </c>
      <c r="E71" s="88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spans="1:23" ht="15.75" customHeight="1" x14ac:dyDescent="0.2">
      <c r="A72" s="83" t="s">
        <v>51</v>
      </c>
      <c r="B72" s="83" t="s">
        <v>24</v>
      </c>
      <c r="C72" s="83" t="s">
        <v>232</v>
      </c>
      <c r="D72" s="87">
        <v>-45</v>
      </c>
      <c r="E72" s="88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 spans="1:23" ht="15.75" customHeight="1" x14ac:dyDescent="0.2">
      <c r="A73" s="83" t="s">
        <v>51</v>
      </c>
      <c r="B73" s="83" t="s">
        <v>25</v>
      </c>
      <c r="C73" s="83" t="s">
        <v>233</v>
      </c>
      <c r="D73" s="87">
        <v>-379.65</v>
      </c>
      <c r="E73" s="88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 spans="1:23" ht="15.75" customHeight="1" x14ac:dyDescent="0.2">
      <c r="A74" s="83" t="s">
        <v>51</v>
      </c>
      <c r="B74" s="83" t="s">
        <v>26</v>
      </c>
      <c r="C74" s="83" t="s">
        <v>234</v>
      </c>
      <c r="D74" s="89">
        <v>0</v>
      </c>
      <c r="E74" s="88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</row>
    <row r="75" spans="1:23" ht="15.75" customHeight="1" x14ac:dyDescent="0.2">
      <c r="A75" s="83" t="s">
        <v>51</v>
      </c>
      <c r="B75" s="83" t="s">
        <v>27</v>
      </c>
      <c r="C75" s="83" t="s">
        <v>235</v>
      </c>
      <c r="D75" s="89">
        <v>0</v>
      </c>
      <c r="E75" s="88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 spans="1:23" ht="15.75" customHeight="1" x14ac:dyDescent="0.2">
      <c r="A76" s="83" t="s">
        <v>51</v>
      </c>
      <c r="B76" s="83" t="s">
        <v>12</v>
      </c>
      <c r="C76" s="83" t="s">
        <v>236</v>
      </c>
      <c r="D76" s="87">
        <v>-170.58</v>
      </c>
      <c r="E76" s="88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 spans="1:23" ht="15.75" customHeight="1" x14ac:dyDescent="0.2">
      <c r="A77" s="83" t="s">
        <v>51</v>
      </c>
      <c r="B77" s="83" t="s">
        <v>13</v>
      </c>
      <c r="C77" s="83" t="s">
        <v>237</v>
      </c>
      <c r="D77" s="87">
        <v>-7392.96</v>
      </c>
      <c r="E77" s="88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 spans="1:23" ht="15.75" customHeight="1" x14ac:dyDescent="0.2">
      <c r="A78" s="83" t="s">
        <v>51</v>
      </c>
      <c r="B78" s="83" t="s">
        <v>8</v>
      </c>
      <c r="C78" s="83" t="s">
        <v>238</v>
      </c>
      <c r="D78" s="87">
        <v>-12859.26</v>
      </c>
      <c r="E78" s="88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 spans="1:23" ht="15.75" customHeight="1" x14ac:dyDescent="0.2">
      <c r="A79" s="83" t="s">
        <v>52</v>
      </c>
      <c r="B79" s="83" t="s">
        <v>3</v>
      </c>
      <c r="C79" s="83" t="s">
        <v>239</v>
      </c>
      <c r="D79" s="87">
        <v>5008958.67</v>
      </c>
      <c r="E79" s="88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</row>
    <row r="80" spans="1:23" ht="15.75" customHeight="1" x14ac:dyDescent="0.2">
      <c r="A80" s="83" t="s">
        <v>52</v>
      </c>
      <c r="B80" s="83" t="s">
        <v>24</v>
      </c>
      <c r="C80" s="83" t="s">
        <v>240</v>
      </c>
      <c r="D80" s="87">
        <v>-2745</v>
      </c>
      <c r="E80" s="88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</row>
    <row r="81" spans="1:23" ht="15.75" customHeight="1" x14ac:dyDescent="0.2">
      <c r="A81" s="83" t="s">
        <v>52</v>
      </c>
      <c r="B81" s="83" t="s">
        <v>25</v>
      </c>
      <c r="C81" s="83" t="s">
        <v>241</v>
      </c>
      <c r="D81" s="87">
        <v>-15309.48</v>
      </c>
      <c r="E81" s="88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</row>
    <row r="82" spans="1:23" ht="15.75" customHeight="1" x14ac:dyDescent="0.2">
      <c r="A82" s="83" t="s">
        <v>52</v>
      </c>
      <c r="B82" s="83" t="s">
        <v>26</v>
      </c>
      <c r="C82" s="83" t="s">
        <v>242</v>
      </c>
      <c r="D82" s="87">
        <v>0</v>
      </c>
      <c r="E82" s="88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</row>
    <row r="83" spans="1:23" ht="15.75" customHeight="1" x14ac:dyDescent="0.2">
      <c r="A83" s="83" t="s">
        <v>52</v>
      </c>
      <c r="B83" s="83" t="s">
        <v>27</v>
      </c>
      <c r="C83" s="83" t="s">
        <v>243</v>
      </c>
      <c r="D83" s="87">
        <v>1224</v>
      </c>
      <c r="E83" s="88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</row>
    <row r="84" spans="1:23" ht="15.75" customHeight="1" x14ac:dyDescent="0.2">
      <c r="A84" s="83" t="s">
        <v>52</v>
      </c>
      <c r="B84" s="83" t="s">
        <v>12</v>
      </c>
      <c r="C84" s="83" t="s">
        <v>244</v>
      </c>
      <c r="D84" s="87">
        <v>-5016.05</v>
      </c>
      <c r="E84" s="88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</row>
    <row r="85" spans="1:23" ht="15.75" customHeight="1" x14ac:dyDescent="0.2">
      <c r="A85" s="83" t="s">
        <v>52</v>
      </c>
      <c r="B85" s="83" t="s">
        <v>13</v>
      </c>
      <c r="C85" s="83" t="s">
        <v>245</v>
      </c>
      <c r="D85" s="87">
        <v>-91487.23</v>
      </c>
      <c r="E85" s="88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</row>
    <row r="86" spans="1:23" ht="15.75" customHeight="1" x14ac:dyDescent="0.2">
      <c r="A86" s="83" t="s">
        <v>52</v>
      </c>
      <c r="B86" s="83" t="s">
        <v>8</v>
      </c>
      <c r="C86" s="83" t="s">
        <v>246</v>
      </c>
      <c r="D86" s="84">
        <v>-120037.95</v>
      </c>
      <c r="E86" s="85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</row>
    <row r="87" spans="1:23" ht="15.75" customHeight="1" x14ac:dyDescent="0.2">
      <c r="A87" s="83" t="s">
        <v>28</v>
      </c>
      <c r="B87" s="83" t="s">
        <v>47</v>
      </c>
      <c r="C87" s="83" t="s">
        <v>247</v>
      </c>
      <c r="D87" s="84">
        <v>206141.43</v>
      </c>
      <c r="E87" s="85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</row>
    <row r="88" spans="1:23" ht="15.75" customHeight="1" x14ac:dyDescent="0.2">
      <c r="A88" s="83" t="s">
        <v>28</v>
      </c>
      <c r="B88" s="83" t="s">
        <v>29</v>
      </c>
      <c r="C88" s="83" t="s">
        <v>248</v>
      </c>
      <c r="D88" s="84">
        <v>324665.96999999997</v>
      </c>
      <c r="E88" s="85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</row>
    <row r="89" spans="1:23" ht="15.75" customHeight="1" x14ac:dyDescent="0.2">
      <c r="A89" s="83" t="s">
        <v>28</v>
      </c>
      <c r="B89" s="83" t="s">
        <v>48</v>
      </c>
      <c r="C89" s="83" t="s">
        <v>249</v>
      </c>
      <c r="D89" s="84">
        <v>11637.06</v>
      </c>
      <c r="E89" s="85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</row>
    <row r="90" spans="1:23" ht="15.75" customHeight="1" x14ac:dyDescent="0.2">
      <c r="A90" s="83" t="s">
        <v>28</v>
      </c>
      <c r="B90" s="83" t="s">
        <v>49</v>
      </c>
      <c r="C90" s="83" t="s">
        <v>250</v>
      </c>
      <c r="D90" s="84">
        <v>111482.94</v>
      </c>
      <c r="E90" s="85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</row>
    <row r="91" spans="1:23" ht="15.75" customHeight="1" x14ac:dyDescent="0.2">
      <c r="A91" s="83" t="s">
        <v>28</v>
      </c>
      <c r="B91" s="83" t="s">
        <v>30</v>
      </c>
      <c r="C91" s="83" t="s">
        <v>251</v>
      </c>
      <c r="D91" s="84">
        <v>4595.46</v>
      </c>
      <c r="E91" s="85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</row>
    <row r="92" spans="1:23" ht="15.75" customHeight="1" x14ac:dyDescent="0.2">
      <c r="A92" s="83"/>
      <c r="B92" s="83"/>
      <c r="C92" s="83"/>
      <c r="D92" s="90" t="s">
        <v>252</v>
      </c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</row>
    <row r="93" spans="1:23" ht="15.75" customHeight="1" x14ac:dyDescent="0.2">
      <c r="A93" s="83" t="s">
        <v>22</v>
      </c>
      <c r="B93" s="83" t="s">
        <v>3</v>
      </c>
      <c r="C93" s="83" t="s">
        <v>253</v>
      </c>
      <c r="D93" s="84">
        <v>14434387.65</v>
      </c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</row>
    <row r="94" spans="1:23" ht="15.75" customHeight="1" x14ac:dyDescent="0.2">
      <c r="A94" s="83" t="s">
        <v>22</v>
      </c>
      <c r="B94" s="83" t="s">
        <v>24</v>
      </c>
      <c r="C94" s="83" t="s">
        <v>254</v>
      </c>
      <c r="D94" s="84">
        <v>-8910</v>
      </c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</row>
    <row r="95" spans="1:23" ht="15.75" customHeight="1" x14ac:dyDescent="0.2">
      <c r="A95" s="83" t="s">
        <v>22</v>
      </c>
      <c r="B95" s="83" t="s">
        <v>25</v>
      </c>
      <c r="C95" s="83" t="s">
        <v>255</v>
      </c>
      <c r="D95" s="84">
        <v>-45691.47</v>
      </c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</row>
    <row r="96" spans="1:23" ht="15.75" customHeight="1" x14ac:dyDescent="0.2">
      <c r="A96" s="83" t="s">
        <v>22</v>
      </c>
      <c r="B96" s="83" t="s">
        <v>26</v>
      </c>
      <c r="C96" s="83" t="s">
        <v>256</v>
      </c>
      <c r="D96" s="84">
        <v>0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</row>
    <row r="97" spans="1:23" ht="15.75" customHeight="1" x14ac:dyDescent="0.2">
      <c r="A97" s="83" t="s">
        <v>22</v>
      </c>
      <c r="B97" s="83" t="s">
        <v>27</v>
      </c>
      <c r="C97" s="83" t="s">
        <v>257</v>
      </c>
      <c r="D97" s="84">
        <v>3108.12</v>
      </c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</row>
    <row r="98" spans="1:23" ht="15.75" customHeight="1" x14ac:dyDescent="0.2">
      <c r="A98" s="83" t="s">
        <v>22</v>
      </c>
      <c r="B98" s="83" t="s">
        <v>12</v>
      </c>
      <c r="C98" s="83" t="s">
        <v>258</v>
      </c>
      <c r="D98" s="84">
        <v>-10194.24</v>
      </c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</row>
    <row r="99" spans="1:23" ht="15.75" customHeight="1" x14ac:dyDescent="0.2">
      <c r="A99" s="83" t="s">
        <v>22</v>
      </c>
      <c r="B99" s="83" t="s">
        <v>13</v>
      </c>
      <c r="C99" s="83" t="s">
        <v>259</v>
      </c>
      <c r="D99" s="84">
        <v>-218854.91</v>
      </c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</row>
    <row r="100" spans="1:23" ht="15.75" customHeight="1" x14ac:dyDescent="0.2">
      <c r="A100" s="83" t="s">
        <v>22</v>
      </c>
      <c r="B100" s="83" t="s">
        <v>8</v>
      </c>
      <c r="C100" s="83" t="s">
        <v>260</v>
      </c>
      <c r="D100" s="84">
        <v>-254301.6</v>
      </c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</row>
    <row r="101" spans="1:23" ht="15.75" customHeight="1" x14ac:dyDescent="0.2">
      <c r="A101" s="83"/>
      <c r="B101" s="83"/>
      <c r="C101" s="83"/>
      <c r="D101" s="90" t="s">
        <v>252</v>
      </c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</row>
    <row r="102" spans="1:23" ht="15.75" customHeight="1" x14ac:dyDescent="0.2">
      <c r="A102" s="83" t="s">
        <v>20</v>
      </c>
      <c r="B102" s="83" t="s">
        <v>3</v>
      </c>
      <c r="C102" s="83" t="s">
        <v>261</v>
      </c>
      <c r="D102" s="84">
        <v>13414089.6</v>
      </c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</row>
    <row r="103" spans="1:23" ht="15.75" customHeight="1" x14ac:dyDescent="0.2">
      <c r="A103" s="83" t="s">
        <v>20</v>
      </c>
      <c r="B103" s="83" t="s">
        <v>24</v>
      </c>
      <c r="C103" s="83" t="s">
        <v>262</v>
      </c>
      <c r="D103" s="84">
        <v>-8055</v>
      </c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</row>
    <row r="104" spans="1:23" ht="15.75" customHeight="1" x14ac:dyDescent="0.2">
      <c r="A104" s="83" t="s">
        <v>20</v>
      </c>
      <c r="B104" s="83" t="s">
        <v>25</v>
      </c>
      <c r="C104" s="83" t="s">
        <v>263</v>
      </c>
      <c r="D104" s="84">
        <v>-25219.59</v>
      </c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</row>
    <row r="105" spans="1:23" ht="15.75" customHeight="1" x14ac:dyDescent="0.2">
      <c r="A105" s="83" t="s">
        <v>20</v>
      </c>
      <c r="B105" s="83" t="s">
        <v>26</v>
      </c>
      <c r="C105" s="83" t="s">
        <v>264</v>
      </c>
      <c r="D105" s="84">
        <v>0</v>
      </c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</row>
    <row r="106" spans="1:23" ht="15.75" customHeight="1" x14ac:dyDescent="0.2">
      <c r="A106" s="83" t="s">
        <v>20</v>
      </c>
      <c r="B106" s="83" t="s">
        <v>27</v>
      </c>
      <c r="C106" s="83" t="s">
        <v>265</v>
      </c>
      <c r="D106" s="84">
        <v>2244.12</v>
      </c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</row>
    <row r="107" spans="1:23" ht="15.75" customHeight="1" x14ac:dyDescent="0.2">
      <c r="A107" s="83" t="s">
        <v>20</v>
      </c>
      <c r="B107" s="83" t="s">
        <v>12</v>
      </c>
      <c r="C107" s="83" t="s">
        <v>266</v>
      </c>
      <c r="D107" s="84">
        <v>-9943.6299999999992</v>
      </c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</row>
    <row r="108" spans="1:23" ht="15.75" customHeight="1" x14ac:dyDescent="0.2">
      <c r="A108" s="83" t="s">
        <v>20</v>
      </c>
      <c r="B108" s="83" t="s">
        <v>13</v>
      </c>
      <c r="C108" s="83" t="s">
        <v>267</v>
      </c>
      <c r="D108" s="84">
        <v>-205120.82</v>
      </c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</row>
    <row r="109" spans="1:23" ht="15.75" customHeight="1" x14ac:dyDescent="0.2">
      <c r="A109" s="83" t="s">
        <v>20</v>
      </c>
      <c r="B109" s="83" t="s">
        <v>8</v>
      </c>
      <c r="C109" s="83" t="s">
        <v>268</v>
      </c>
      <c r="D109" s="84">
        <v>-48485.64</v>
      </c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</row>
    <row r="110" spans="1:23" ht="15.75" customHeight="1" x14ac:dyDescent="0.2">
      <c r="A110" s="83" t="s">
        <v>21</v>
      </c>
      <c r="B110" s="83" t="s">
        <v>3</v>
      </c>
      <c r="C110" s="83" t="s">
        <v>269</v>
      </c>
      <c r="D110" s="84">
        <v>1020298.05</v>
      </c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</row>
    <row r="111" spans="1:23" ht="15.75" customHeight="1" x14ac:dyDescent="0.2">
      <c r="A111" s="83" t="s">
        <v>21</v>
      </c>
      <c r="B111" s="83" t="s">
        <v>24</v>
      </c>
      <c r="C111" s="83" t="s">
        <v>270</v>
      </c>
      <c r="D111" s="84">
        <v>-855</v>
      </c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</row>
    <row r="112" spans="1:23" ht="15.75" customHeight="1" x14ac:dyDescent="0.2">
      <c r="A112" s="83" t="s">
        <v>21</v>
      </c>
      <c r="B112" s="83" t="s">
        <v>25</v>
      </c>
      <c r="C112" s="83" t="s">
        <v>271</v>
      </c>
      <c r="D112" s="84">
        <v>-20471.88</v>
      </c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</row>
    <row r="113" spans="1:23" ht="15.75" customHeight="1" x14ac:dyDescent="0.2">
      <c r="A113" s="83" t="s">
        <v>21</v>
      </c>
      <c r="B113" s="83" t="s">
        <v>26</v>
      </c>
      <c r="C113" s="83" t="s">
        <v>272</v>
      </c>
      <c r="D113" s="84">
        <v>0</v>
      </c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</row>
    <row r="114" spans="1:23" ht="15.75" customHeight="1" x14ac:dyDescent="0.2">
      <c r="A114" s="83" t="s">
        <v>21</v>
      </c>
      <c r="B114" s="83" t="s">
        <v>27</v>
      </c>
      <c r="C114" s="83" t="s">
        <v>273</v>
      </c>
      <c r="D114" s="84">
        <v>864</v>
      </c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</row>
    <row r="115" spans="1:23" ht="15.75" customHeight="1" x14ac:dyDescent="0.2">
      <c r="A115" s="83" t="s">
        <v>21</v>
      </c>
      <c r="B115" s="83" t="s">
        <v>12</v>
      </c>
      <c r="C115" s="83" t="s">
        <v>274</v>
      </c>
      <c r="D115" s="84">
        <v>-250.61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</row>
    <row r="116" spans="1:23" ht="15.75" customHeight="1" x14ac:dyDescent="0.2">
      <c r="A116" s="83" t="s">
        <v>21</v>
      </c>
      <c r="B116" s="83" t="s">
        <v>13</v>
      </c>
      <c r="C116" s="83" t="s">
        <v>275</v>
      </c>
      <c r="D116" s="84">
        <v>-13734.09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</row>
    <row r="117" spans="1:23" ht="15.75" customHeight="1" x14ac:dyDescent="0.2">
      <c r="A117" s="83" t="s">
        <v>21</v>
      </c>
      <c r="B117" s="83" t="s">
        <v>8</v>
      </c>
      <c r="C117" s="83" t="s">
        <v>276</v>
      </c>
      <c r="D117" s="84">
        <v>-205815.96</v>
      </c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</row>
    <row r="118" spans="1:23" ht="15.75" customHeight="1" x14ac:dyDescent="0.2">
      <c r="A118" s="83"/>
      <c r="B118" s="83"/>
      <c r="C118" s="83"/>
      <c r="D118" s="90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</row>
    <row r="119" spans="1:23" ht="15.75" customHeight="1" x14ac:dyDescent="0.2">
      <c r="A119" s="83"/>
      <c r="B119" s="83"/>
      <c r="C119" s="83"/>
      <c r="D119" s="90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</row>
    <row r="120" spans="1:23" ht="15.75" customHeight="1" x14ac:dyDescent="0.2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</row>
    <row r="121" spans="1:23" ht="15.75" customHeight="1" x14ac:dyDescent="0.2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</row>
    <row r="122" spans="1:23" ht="15.75" customHeight="1" x14ac:dyDescent="0.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</row>
    <row r="123" spans="1:23" ht="15.75" customHeight="1" x14ac:dyDescent="0.2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</row>
    <row r="124" spans="1:23" ht="15.75" customHeight="1" x14ac:dyDescent="0.2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</row>
    <row r="125" spans="1:23" ht="15.75" customHeight="1" x14ac:dyDescent="0.2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</row>
    <row r="126" spans="1:23" ht="15.75" customHeight="1" x14ac:dyDescent="0.2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</row>
    <row r="127" spans="1:23" ht="15.75" customHeight="1" x14ac:dyDescent="0.2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</row>
    <row r="128" spans="1:23" ht="15.75" customHeight="1" x14ac:dyDescent="0.2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</row>
    <row r="129" spans="1:23" ht="15.75" customHeight="1" x14ac:dyDescent="0.2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</row>
    <row r="130" spans="1:23" ht="15.75" customHeight="1" x14ac:dyDescent="0.2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</row>
    <row r="131" spans="1:23" ht="15.75" customHeight="1" x14ac:dyDescent="0.2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</row>
    <row r="132" spans="1:23" ht="15.75" customHeight="1" x14ac:dyDescent="0.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</row>
    <row r="133" spans="1:23" ht="15.75" customHeight="1" x14ac:dyDescent="0.2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</row>
    <row r="134" spans="1:23" ht="15.75" customHeight="1" x14ac:dyDescent="0.2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</row>
    <row r="135" spans="1:23" ht="15.75" customHeight="1" x14ac:dyDescent="0.2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</row>
    <row r="136" spans="1:23" ht="15.75" customHeight="1" x14ac:dyDescent="0.2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</row>
    <row r="137" spans="1:23" ht="15.75" customHeight="1" x14ac:dyDescent="0.2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</row>
    <row r="138" spans="1:23" ht="15.75" customHeight="1" x14ac:dyDescent="0.2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</row>
    <row r="139" spans="1:23" ht="15.75" customHeight="1" x14ac:dyDescent="0.2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</row>
    <row r="140" spans="1:23" ht="15.75" customHeight="1" x14ac:dyDescent="0.2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</row>
    <row r="141" spans="1:23" ht="15.75" customHeight="1" x14ac:dyDescent="0.2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</row>
    <row r="142" spans="1:23" ht="15.75" customHeight="1" x14ac:dyDescent="0.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</row>
    <row r="143" spans="1:23" ht="15.75" customHeight="1" x14ac:dyDescent="0.2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</row>
    <row r="144" spans="1:23" ht="15.75" customHeight="1" x14ac:dyDescent="0.2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</row>
    <row r="145" spans="1:23" ht="15.75" customHeight="1" x14ac:dyDescent="0.2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</row>
    <row r="146" spans="1:23" ht="15.75" customHeight="1" x14ac:dyDescent="0.2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</row>
    <row r="147" spans="1:23" ht="15.75" customHeight="1" x14ac:dyDescent="0.2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</row>
    <row r="148" spans="1:23" ht="15.75" customHeight="1" x14ac:dyDescent="0.2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</row>
    <row r="149" spans="1:23" ht="15.75" customHeight="1" x14ac:dyDescent="0.2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</row>
    <row r="150" spans="1:23" ht="15.75" customHeight="1" x14ac:dyDescent="0.2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</row>
    <row r="151" spans="1:23" ht="15.75" customHeight="1" x14ac:dyDescent="0.2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</row>
    <row r="152" spans="1:23" ht="15.75" customHeight="1" x14ac:dyDescent="0.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</row>
    <row r="153" spans="1:23" ht="15.75" customHeight="1" x14ac:dyDescent="0.2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</row>
    <row r="154" spans="1:23" ht="15.75" customHeight="1" x14ac:dyDescent="0.2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</row>
    <row r="155" spans="1:23" ht="15.75" customHeight="1" x14ac:dyDescent="0.2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</row>
    <row r="156" spans="1:23" ht="15.75" customHeight="1" x14ac:dyDescent="0.2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</row>
    <row r="157" spans="1:23" ht="15.75" customHeight="1" x14ac:dyDescent="0.2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</row>
    <row r="158" spans="1:23" ht="15.75" customHeight="1" x14ac:dyDescent="0.2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</row>
    <row r="159" spans="1:23" ht="15.75" customHeight="1" x14ac:dyDescent="0.2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</row>
    <row r="160" spans="1:23" ht="15.75" customHeight="1" x14ac:dyDescent="0.2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</row>
    <row r="161" spans="1:23" ht="15.75" customHeight="1" x14ac:dyDescent="0.2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</row>
    <row r="162" spans="1:23" ht="15.75" customHeight="1" x14ac:dyDescent="0.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</row>
    <row r="163" spans="1:23" ht="15.75" customHeight="1" x14ac:dyDescent="0.2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</row>
    <row r="164" spans="1:23" ht="15.75" customHeight="1" x14ac:dyDescent="0.2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</row>
    <row r="165" spans="1:23" ht="15.75" customHeight="1" x14ac:dyDescent="0.2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</row>
    <row r="166" spans="1:23" ht="15.75" customHeight="1" x14ac:dyDescent="0.2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</row>
    <row r="167" spans="1:23" ht="15.75" customHeight="1" x14ac:dyDescent="0.2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</row>
    <row r="168" spans="1:23" ht="15.75" customHeight="1" x14ac:dyDescent="0.2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</row>
    <row r="169" spans="1:23" ht="15.75" customHeight="1" x14ac:dyDescent="0.2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</row>
    <row r="170" spans="1:23" ht="15.75" customHeight="1" x14ac:dyDescent="0.2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</row>
    <row r="171" spans="1:23" ht="15.75" customHeight="1" x14ac:dyDescent="0.2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</row>
    <row r="172" spans="1:23" ht="15.75" customHeight="1" x14ac:dyDescent="0.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</row>
    <row r="173" spans="1:23" ht="15.75" customHeight="1" x14ac:dyDescent="0.2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</row>
    <row r="174" spans="1:23" ht="15.75" customHeight="1" x14ac:dyDescent="0.2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</row>
    <row r="175" spans="1:23" ht="15.75" customHeight="1" x14ac:dyDescent="0.2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</row>
    <row r="176" spans="1:23" ht="15.75" customHeight="1" x14ac:dyDescent="0.2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</row>
    <row r="177" spans="1:23" ht="15.75" customHeight="1" x14ac:dyDescent="0.2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</row>
    <row r="178" spans="1:23" ht="15.75" customHeight="1" x14ac:dyDescent="0.2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</row>
    <row r="179" spans="1:23" ht="15.75" customHeight="1" x14ac:dyDescent="0.2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</row>
    <row r="180" spans="1:23" ht="15.75" customHeight="1" x14ac:dyDescent="0.2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</row>
    <row r="181" spans="1:23" ht="15.75" customHeight="1" x14ac:dyDescent="0.2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</row>
    <row r="182" spans="1:23" ht="15.75" customHeight="1" x14ac:dyDescent="0.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</row>
    <row r="183" spans="1:23" ht="15.75" customHeight="1" x14ac:dyDescent="0.2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</row>
    <row r="184" spans="1:23" ht="15.75" customHeight="1" x14ac:dyDescent="0.2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</row>
    <row r="185" spans="1:23" ht="15.75" customHeight="1" x14ac:dyDescent="0.2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</row>
    <row r="186" spans="1:23" ht="15.75" customHeight="1" x14ac:dyDescent="0.2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</row>
    <row r="187" spans="1:23" ht="15.75" customHeight="1" x14ac:dyDescent="0.2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</row>
    <row r="188" spans="1:23" ht="15.75" customHeight="1" x14ac:dyDescent="0.2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</row>
    <row r="189" spans="1:23" ht="15.75" customHeight="1" x14ac:dyDescent="0.2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</row>
    <row r="190" spans="1:23" ht="15.75" customHeight="1" x14ac:dyDescent="0.2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</row>
    <row r="191" spans="1:23" ht="15.75" customHeight="1" x14ac:dyDescent="0.2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</row>
    <row r="192" spans="1:23" ht="15.75" customHeight="1" x14ac:dyDescent="0.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</row>
    <row r="193" spans="1:23" ht="15.75" customHeight="1" x14ac:dyDescent="0.2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</row>
    <row r="194" spans="1:23" ht="15.75" customHeight="1" x14ac:dyDescent="0.2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</row>
    <row r="195" spans="1:23" ht="15.75" customHeight="1" x14ac:dyDescent="0.2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</row>
    <row r="196" spans="1:23" ht="15.75" customHeight="1" x14ac:dyDescent="0.2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</row>
    <row r="197" spans="1:23" ht="15.75" customHeight="1" x14ac:dyDescent="0.2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</row>
    <row r="198" spans="1:23" ht="15.75" customHeight="1" x14ac:dyDescent="0.2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</row>
    <row r="199" spans="1:23" ht="15.75" customHeight="1" x14ac:dyDescent="0.2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</row>
    <row r="200" spans="1:23" ht="15.75" customHeight="1" x14ac:dyDescent="0.2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</row>
    <row r="201" spans="1:23" ht="15.75" customHeight="1" x14ac:dyDescent="0.2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</row>
    <row r="202" spans="1:23" ht="15.75" customHeight="1" x14ac:dyDescent="0.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</row>
    <row r="203" spans="1:23" ht="15.75" customHeight="1" x14ac:dyDescent="0.2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</row>
    <row r="204" spans="1:23" ht="15.75" customHeight="1" x14ac:dyDescent="0.2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</row>
    <row r="205" spans="1:23" ht="15.75" customHeight="1" x14ac:dyDescent="0.2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</row>
    <row r="206" spans="1:23" ht="15.75" customHeight="1" x14ac:dyDescent="0.2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</row>
    <row r="207" spans="1:23" ht="15.75" customHeight="1" x14ac:dyDescent="0.2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</row>
    <row r="208" spans="1:23" ht="15.75" customHeight="1" x14ac:dyDescent="0.2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</row>
    <row r="209" spans="1:23" ht="15.75" customHeight="1" x14ac:dyDescent="0.2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</row>
    <row r="210" spans="1:23" ht="15.75" customHeight="1" x14ac:dyDescent="0.2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</row>
    <row r="211" spans="1:23" ht="15.75" customHeight="1" x14ac:dyDescent="0.2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</row>
    <row r="212" spans="1:23" ht="15.75" customHeight="1" x14ac:dyDescent="0.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</row>
    <row r="213" spans="1:23" ht="15.75" customHeight="1" x14ac:dyDescent="0.2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</row>
    <row r="214" spans="1:23" ht="15.75" customHeight="1" x14ac:dyDescent="0.2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</row>
    <row r="215" spans="1:23" ht="15.75" customHeight="1" x14ac:dyDescent="0.2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</row>
    <row r="216" spans="1:23" ht="15.75" customHeight="1" x14ac:dyDescent="0.2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</row>
    <row r="217" spans="1:23" ht="15.75" customHeight="1" x14ac:dyDescent="0.2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</row>
    <row r="218" spans="1:23" ht="15.75" customHeight="1" x14ac:dyDescent="0.2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</row>
    <row r="219" spans="1:23" ht="15.75" customHeight="1" x14ac:dyDescent="0.2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</row>
    <row r="220" spans="1:23" ht="15.75" customHeight="1" x14ac:dyDescent="0.2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</row>
    <row r="221" spans="1:23" ht="15.75" customHeight="1" x14ac:dyDescent="0.2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</row>
    <row r="222" spans="1:23" ht="15.75" customHeight="1" x14ac:dyDescent="0.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</row>
    <row r="223" spans="1:23" ht="15.75" customHeight="1" x14ac:dyDescent="0.2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</row>
    <row r="224" spans="1:23" ht="15.75" customHeight="1" x14ac:dyDescent="0.2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</row>
    <row r="225" spans="1:23" ht="15.75" customHeight="1" x14ac:dyDescent="0.2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</row>
    <row r="226" spans="1:23" ht="15.75" customHeight="1" x14ac:dyDescent="0.2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</row>
    <row r="227" spans="1:23" ht="15.75" customHeight="1" x14ac:dyDescent="0.2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</row>
    <row r="228" spans="1:23" ht="15.75" customHeight="1" x14ac:dyDescent="0.2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</row>
    <row r="229" spans="1:23" ht="15.75" customHeight="1" x14ac:dyDescent="0.2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</row>
    <row r="230" spans="1:23" ht="15.75" customHeight="1" x14ac:dyDescent="0.2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</row>
    <row r="231" spans="1:23" ht="15.75" customHeight="1" x14ac:dyDescent="0.2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</row>
    <row r="232" spans="1:23" ht="15.75" customHeight="1" x14ac:dyDescent="0.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</row>
    <row r="233" spans="1:23" ht="15.75" customHeight="1" x14ac:dyDescent="0.2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</row>
    <row r="234" spans="1:23" ht="15.75" customHeight="1" x14ac:dyDescent="0.2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</row>
    <row r="235" spans="1:23" ht="15.75" customHeight="1" x14ac:dyDescent="0.2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</row>
    <row r="236" spans="1:23" ht="15.75" customHeight="1" x14ac:dyDescent="0.2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</row>
    <row r="237" spans="1:23" ht="15.75" customHeight="1" x14ac:dyDescent="0.2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</row>
    <row r="238" spans="1:23" ht="15.75" customHeight="1" x14ac:dyDescent="0.2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</row>
    <row r="239" spans="1:23" ht="15.75" customHeight="1" x14ac:dyDescent="0.2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</row>
    <row r="240" spans="1:23" ht="15.75" customHeight="1" x14ac:dyDescent="0.2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</row>
    <row r="241" spans="1:23" ht="15.75" customHeight="1" x14ac:dyDescent="0.2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</row>
    <row r="242" spans="1:23" ht="15.75" customHeight="1" x14ac:dyDescent="0.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</row>
    <row r="243" spans="1:23" ht="15.75" customHeight="1" x14ac:dyDescent="0.2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</row>
    <row r="244" spans="1:23" ht="15.75" customHeight="1" x14ac:dyDescent="0.2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</row>
    <row r="245" spans="1:23" ht="15.75" customHeight="1" x14ac:dyDescent="0.2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</row>
    <row r="246" spans="1:23" ht="15.75" customHeight="1" x14ac:dyDescent="0.2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</row>
    <row r="247" spans="1:23" ht="15.75" customHeight="1" x14ac:dyDescent="0.2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</row>
    <row r="248" spans="1:23" ht="15.75" customHeight="1" x14ac:dyDescent="0.2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</row>
    <row r="249" spans="1:23" ht="15.75" customHeight="1" x14ac:dyDescent="0.2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</row>
    <row r="250" spans="1:23" ht="15.75" customHeight="1" x14ac:dyDescent="0.2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</row>
    <row r="251" spans="1:23" ht="15.75" customHeight="1" x14ac:dyDescent="0.2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</row>
    <row r="252" spans="1:23" ht="15.75" customHeight="1" x14ac:dyDescent="0.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</row>
    <row r="253" spans="1:23" ht="15.75" customHeight="1" x14ac:dyDescent="0.2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</row>
    <row r="254" spans="1:23" ht="15.75" customHeight="1" x14ac:dyDescent="0.2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</row>
    <row r="255" spans="1:23" ht="15.75" customHeight="1" x14ac:dyDescent="0.2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</row>
    <row r="256" spans="1:23" ht="15.75" customHeight="1" x14ac:dyDescent="0.2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</row>
    <row r="257" spans="1:23" ht="15.75" customHeight="1" x14ac:dyDescent="0.2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</row>
    <row r="258" spans="1:23" ht="15.75" customHeight="1" x14ac:dyDescent="0.2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</row>
    <row r="259" spans="1:23" ht="15.75" customHeight="1" x14ac:dyDescent="0.2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</row>
    <row r="260" spans="1:23" ht="15.75" customHeight="1" x14ac:dyDescent="0.2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</row>
    <row r="261" spans="1:23" ht="15.75" customHeight="1" x14ac:dyDescent="0.2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</row>
    <row r="262" spans="1:23" ht="15.75" customHeight="1" x14ac:dyDescent="0.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</row>
    <row r="263" spans="1:23" ht="15.75" customHeight="1" x14ac:dyDescent="0.2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</row>
    <row r="264" spans="1:23" ht="15.75" customHeight="1" x14ac:dyDescent="0.2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</row>
    <row r="265" spans="1:23" ht="15.75" customHeight="1" x14ac:dyDescent="0.2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</row>
    <row r="266" spans="1:23" ht="15.75" customHeight="1" x14ac:dyDescent="0.2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</row>
    <row r="267" spans="1:23" ht="15.75" customHeight="1" x14ac:dyDescent="0.2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</row>
    <row r="268" spans="1:23" ht="15.75" customHeight="1" x14ac:dyDescent="0.2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</row>
    <row r="269" spans="1:23" ht="15.75" customHeight="1" x14ac:dyDescent="0.2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</row>
    <row r="270" spans="1:23" ht="15.75" customHeight="1" x14ac:dyDescent="0.2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</row>
    <row r="271" spans="1:23" ht="15.75" customHeight="1" x14ac:dyDescent="0.2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</row>
    <row r="272" spans="1:23" ht="15.75" customHeight="1" x14ac:dyDescent="0.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</row>
    <row r="273" spans="1:23" ht="15.75" customHeight="1" x14ac:dyDescent="0.2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</row>
    <row r="274" spans="1:23" ht="15.75" customHeight="1" x14ac:dyDescent="0.2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</row>
    <row r="275" spans="1:23" ht="15.75" customHeight="1" x14ac:dyDescent="0.2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</row>
    <row r="276" spans="1:23" ht="15.75" customHeight="1" x14ac:dyDescent="0.2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</row>
    <row r="277" spans="1:23" ht="15.75" customHeight="1" x14ac:dyDescent="0.2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</row>
    <row r="278" spans="1:23" ht="15.75" customHeight="1" x14ac:dyDescent="0.2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</row>
    <row r="279" spans="1:23" ht="15.75" customHeight="1" x14ac:dyDescent="0.2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</row>
    <row r="280" spans="1:23" ht="15.75" customHeight="1" x14ac:dyDescent="0.2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</row>
    <row r="281" spans="1:23" ht="15.75" customHeight="1" x14ac:dyDescent="0.2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</row>
    <row r="282" spans="1:23" ht="15.75" customHeight="1" x14ac:dyDescent="0.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</row>
    <row r="283" spans="1:23" ht="15.75" customHeight="1" x14ac:dyDescent="0.2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</row>
    <row r="284" spans="1:23" ht="15.75" customHeight="1" x14ac:dyDescent="0.2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</row>
    <row r="285" spans="1:23" ht="15.75" customHeight="1" x14ac:dyDescent="0.2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</row>
    <row r="286" spans="1:23" ht="15.75" customHeight="1" x14ac:dyDescent="0.2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</row>
    <row r="287" spans="1:23" ht="15.75" customHeight="1" x14ac:dyDescent="0.2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</row>
    <row r="288" spans="1:23" ht="15.75" customHeight="1" x14ac:dyDescent="0.2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</row>
    <row r="289" spans="1:23" ht="15.75" customHeight="1" x14ac:dyDescent="0.2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</row>
    <row r="290" spans="1:23" ht="15.75" customHeight="1" x14ac:dyDescent="0.2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</row>
    <row r="291" spans="1:23" ht="15.75" customHeight="1" x14ac:dyDescent="0.2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</row>
    <row r="292" spans="1:23" ht="15.75" customHeight="1" x14ac:dyDescent="0.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</row>
    <row r="293" spans="1:23" ht="15.75" customHeight="1" x14ac:dyDescent="0.2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</row>
    <row r="294" spans="1:23" ht="15.75" customHeight="1" x14ac:dyDescent="0.2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</row>
    <row r="295" spans="1:23" ht="15.75" customHeight="1" x14ac:dyDescent="0.2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</row>
    <row r="296" spans="1:23" ht="15.75" customHeight="1" x14ac:dyDescent="0.2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</row>
    <row r="297" spans="1:23" ht="15.75" customHeight="1" x14ac:dyDescent="0.2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</row>
    <row r="298" spans="1:23" ht="15.75" customHeight="1" x14ac:dyDescent="0.2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</row>
    <row r="299" spans="1:23" ht="15.75" customHeight="1" x14ac:dyDescent="0.2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</row>
    <row r="300" spans="1:23" ht="15.75" customHeight="1" x14ac:dyDescent="0.2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</row>
    <row r="301" spans="1:23" ht="15.75" customHeight="1" x14ac:dyDescent="0.2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</row>
    <row r="302" spans="1:23" ht="15.75" customHeight="1" x14ac:dyDescent="0.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</row>
    <row r="303" spans="1:23" ht="15.75" customHeight="1" x14ac:dyDescent="0.2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</row>
    <row r="304" spans="1:23" ht="15.75" customHeight="1" x14ac:dyDescent="0.2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</row>
    <row r="305" spans="1:23" ht="15.75" customHeight="1" x14ac:dyDescent="0.2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</row>
    <row r="306" spans="1:23" ht="15.75" customHeight="1" x14ac:dyDescent="0.2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</row>
    <row r="307" spans="1:23" ht="15.75" customHeight="1" x14ac:dyDescent="0.2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</row>
    <row r="308" spans="1:23" ht="15.75" customHeight="1" x14ac:dyDescent="0.2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</row>
    <row r="309" spans="1:23" ht="15.75" customHeight="1" x14ac:dyDescent="0.2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</row>
    <row r="310" spans="1:23" ht="15.75" customHeight="1" x14ac:dyDescent="0.2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</row>
    <row r="311" spans="1:23" ht="15.75" customHeight="1" x14ac:dyDescent="0.2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</row>
    <row r="312" spans="1:23" ht="15.75" customHeight="1" x14ac:dyDescent="0.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</row>
    <row r="313" spans="1:23" ht="15.75" customHeight="1" x14ac:dyDescent="0.2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</row>
    <row r="314" spans="1:23" ht="15.75" customHeight="1" x14ac:dyDescent="0.2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</row>
    <row r="315" spans="1:23" ht="15.75" customHeight="1" x14ac:dyDescent="0.2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</row>
    <row r="316" spans="1:23" ht="15.75" customHeight="1" x14ac:dyDescent="0.2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</row>
    <row r="317" spans="1:23" ht="15.75" customHeight="1" x14ac:dyDescent="0.2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</row>
    <row r="318" spans="1:23" ht="15.75" customHeight="1" x14ac:dyDescent="0.2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</row>
    <row r="319" spans="1:23" ht="15.75" customHeight="1" x14ac:dyDescent="0.2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</row>
    <row r="320" spans="1:23" ht="15.75" customHeight="1" x14ac:dyDescent="0.2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</row>
    <row r="321" spans="1:23" ht="15.75" customHeight="1" x14ac:dyDescent="0.2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</row>
    <row r="322" spans="1:23" ht="15.75" customHeight="1" x14ac:dyDescent="0.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</row>
    <row r="323" spans="1:23" ht="15.75" customHeight="1" x14ac:dyDescent="0.2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</row>
    <row r="324" spans="1:23" ht="15.75" customHeight="1" x14ac:dyDescent="0.2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</row>
    <row r="325" spans="1:23" ht="15.75" customHeight="1" x14ac:dyDescent="0.2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</row>
    <row r="326" spans="1:23" ht="15.75" customHeight="1" x14ac:dyDescent="0.2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</row>
    <row r="327" spans="1:23" ht="15.75" customHeight="1" x14ac:dyDescent="0.2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</row>
    <row r="328" spans="1:23" ht="15.75" customHeight="1" x14ac:dyDescent="0.2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</row>
    <row r="329" spans="1:23" ht="15.75" customHeight="1" x14ac:dyDescent="0.2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</row>
    <row r="330" spans="1:23" ht="15.75" customHeight="1" x14ac:dyDescent="0.2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</row>
    <row r="331" spans="1:23" ht="15.75" customHeight="1" x14ac:dyDescent="0.2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</row>
    <row r="332" spans="1:23" ht="15.75" customHeight="1" x14ac:dyDescent="0.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</row>
    <row r="333" spans="1:23" ht="15.75" customHeight="1" x14ac:dyDescent="0.2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</row>
    <row r="334" spans="1:23" ht="15.75" customHeight="1" x14ac:dyDescent="0.2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</row>
    <row r="335" spans="1:23" ht="15.75" customHeight="1" x14ac:dyDescent="0.2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</row>
    <row r="336" spans="1:23" ht="15.75" customHeight="1" x14ac:dyDescent="0.2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</row>
    <row r="337" spans="1:23" ht="15.75" customHeight="1" x14ac:dyDescent="0.2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</row>
    <row r="338" spans="1:23" ht="15.75" customHeight="1" x14ac:dyDescent="0.2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</row>
    <row r="339" spans="1:23" ht="15.75" customHeight="1" x14ac:dyDescent="0.2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</row>
    <row r="340" spans="1:23" ht="15.75" customHeight="1" x14ac:dyDescent="0.2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</row>
    <row r="341" spans="1:23" ht="15.75" customHeight="1" x14ac:dyDescent="0.2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</row>
    <row r="342" spans="1:23" ht="15.75" customHeight="1" x14ac:dyDescent="0.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</row>
    <row r="343" spans="1:23" ht="15.75" customHeight="1" x14ac:dyDescent="0.2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</row>
    <row r="344" spans="1:23" ht="15.75" customHeight="1" x14ac:dyDescent="0.2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</row>
    <row r="345" spans="1:23" ht="15.75" customHeight="1" x14ac:dyDescent="0.2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</row>
    <row r="346" spans="1:23" ht="15.75" customHeight="1" x14ac:dyDescent="0.2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</row>
    <row r="347" spans="1:23" ht="15.75" customHeight="1" x14ac:dyDescent="0.2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</row>
    <row r="348" spans="1:23" ht="15.75" customHeight="1" x14ac:dyDescent="0.2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</row>
    <row r="349" spans="1:23" ht="15.75" customHeight="1" x14ac:dyDescent="0.2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</row>
    <row r="350" spans="1:23" ht="15.75" customHeight="1" x14ac:dyDescent="0.2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</row>
    <row r="351" spans="1:23" ht="15.75" customHeight="1" x14ac:dyDescent="0.2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</row>
    <row r="352" spans="1:23" ht="15.75" customHeight="1" x14ac:dyDescent="0.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</row>
    <row r="353" spans="1:23" ht="15.75" customHeight="1" x14ac:dyDescent="0.2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</row>
    <row r="354" spans="1:23" ht="15.75" customHeight="1" x14ac:dyDescent="0.2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</row>
    <row r="355" spans="1:23" ht="15.75" customHeight="1" x14ac:dyDescent="0.2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</row>
    <row r="356" spans="1:23" ht="15.75" customHeight="1" x14ac:dyDescent="0.2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</row>
    <row r="357" spans="1:23" ht="15.75" customHeight="1" x14ac:dyDescent="0.2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</row>
    <row r="358" spans="1:23" ht="15.75" customHeight="1" x14ac:dyDescent="0.2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</row>
    <row r="359" spans="1:23" ht="15.75" customHeight="1" x14ac:dyDescent="0.2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</row>
    <row r="360" spans="1:23" ht="15.75" customHeight="1" x14ac:dyDescent="0.2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</row>
    <row r="361" spans="1:23" ht="15.75" customHeight="1" x14ac:dyDescent="0.2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</row>
    <row r="362" spans="1:23" ht="15.75" customHeight="1" x14ac:dyDescent="0.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</row>
    <row r="363" spans="1:23" ht="15.75" customHeight="1" x14ac:dyDescent="0.2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</row>
    <row r="364" spans="1:23" ht="15.75" customHeight="1" x14ac:dyDescent="0.2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</row>
    <row r="365" spans="1:23" ht="15.75" customHeight="1" x14ac:dyDescent="0.2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</row>
    <row r="366" spans="1:23" ht="15.75" customHeight="1" x14ac:dyDescent="0.2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</row>
    <row r="367" spans="1:23" ht="15.75" customHeight="1" x14ac:dyDescent="0.2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</row>
    <row r="368" spans="1:23" ht="15.75" customHeight="1" x14ac:dyDescent="0.2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</row>
    <row r="369" spans="1:23" ht="15.75" customHeight="1" x14ac:dyDescent="0.2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</row>
    <row r="370" spans="1:23" ht="15.75" customHeight="1" x14ac:dyDescent="0.2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</row>
    <row r="371" spans="1:23" ht="15.75" customHeight="1" x14ac:dyDescent="0.2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</row>
    <row r="372" spans="1:23" ht="15.75" customHeight="1" x14ac:dyDescent="0.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</row>
    <row r="373" spans="1:23" ht="15.75" customHeight="1" x14ac:dyDescent="0.2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</row>
    <row r="374" spans="1:23" ht="15.75" customHeight="1" x14ac:dyDescent="0.2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</row>
    <row r="375" spans="1:23" ht="15.75" customHeight="1" x14ac:dyDescent="0.2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</row>
    <row r="376" spans="1:23" ht="15.75" customHeight="1" x14ac:dyDescent="0.2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</row>
    <row r="377" spans="1:23" ht="15.75" customHeight="1" x14ac:dyDescent="0.2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</row>
    <row r="378" spans="1:23" ht="15.75" customHeight="1" x14ac:dyDescent="0.2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</row>
    <row r="379" spans="1:23" ht="15.75" customHeight="1" x14ac:dyDescent="0.2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</row>
    <row r="380" spans="1:23" ht="15.75" customHeight="1" x14ac:dyDescent="0.2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</row>
    <row r="381" spans="1:23" ht="15.75" customHeight="1" x14ac:dyDescent="0.2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</row>
    <row r="382" spans="1:23" ht="15.75" customHeight="1" x14ac:dyDescent="0.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</row>
    <row r="383" spans="1:23" ht="15.75" customHeight="1" x14ac:dyDescent="0.2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</row>
    <row r="384" spans="1:23" ht="15.75" customHeight="1" x14ac:dyDescent="0.2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</row>
    <row r="385" spans="1:23" ht="15.75" customHeight="1" x14ac:dyDescent="0.2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</row>
    <row r="386" spans="1:23" ht="15.75" customHeight="1" x14ac:dyDescent="0.2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</row>
    <row r="387" spans="1:23" ht="15.75" customHeight="1" x14ac:dyDescent="0.2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</row>
    <row r="388" spans="1:23" ht="15.75" customHeight="1" x14ac:dyDescent="0.2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</row>
    <row r="389" spans="1:23" ht="15.75" customHeight="1" x14ac:dyDescent="0.2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</row>
    <row r="390" spans="1:23" ht="15.75" customHeight="1" x14ac:dyDescent="0.2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</row>
    <row r="391" spans="1:23" ht="15.75" customHeight="1" x14ac:dyDescent="0.2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</row>
    <row r="392" spans="1:23" ht="15.75" customHeight="1" x14ac:dyDescent="0.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</row>
    <row r="393" spans="1:23" ht="15.75" customHeight="1" x14ac:dyDescent="0.2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</row>
    <row r="394" spans="1:23" ht="15.75" customHeight="1" x14ac:dyDescent="0.2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</row>
    <row r="395" spans="1:23" ht="15.75" customHeight="1" x14ac:dyDescent="0.2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</row>
    <row r="396" spans="1:23" ht="15.75" customHeight="1" x14ac:dyDescent="0.2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</row>
    <row r="397" spans="1:23" ht="15.75" customHeight="1" x14ac:dyDescent="0.2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</row>
    <row r="398" spans="1:23" ht="15.75" customHeight="1" x14ac:dyDescent="0.2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</row>
    <row r="399" spans="1:23" ht="15.75" customHeight="1" x14ac:dyDescent="0.2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</row>
    <row r="400" spans="1:23" ht="15.75" customHeight="1" x14ac:dyDescent="0.2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</row>
    <row r="401" spans="1:23" ht="15.75" customHeight="1" x14ac:dyDescent="0.2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</row>
    <row r="402" spans="1:23" ht="15.75" customHeight="1" x14ac:dyDescent="0.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</row>
    <row r="403" spans="1:23" ht="15.75" customHeight="1" x14ac:dyDescent="0.2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</row>
    <row r="404" spans="1:23" ht="15.75" customHeight="1" x14ac:dyDescent="0.2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</row>
    <row r="405" spans="1:23" ht="15.75" customHeight="1" x14ac:dyDescent="0.2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</row>
    <row r="406" spans="1:23" ht="15.75" customHeight="1" x14ac:dyDescent="0.2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</row>
    <row r="407" spans="1:23" ht="15.75" customHeight="1" x14ac:dyDescent="0.2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</row>
    <row r="408" spans="1:23" ht="15.75" customHeight="1" x14ac:dyDescent="0.2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</row>
    <row r="409" spans="1:23" ht="15.75" customHeight="1" x14ac:dyDescent="0.2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</row>
    <row r="410" spans="1:23" ht="15.75" customHeight="1" x14ac:dyDescent="0.2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</row>
    <row r="411" spans="1:23" ht="15.75" customHeight="1" x14ac:dyDescent="0.2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</row>
    <row r="412" spans="1:23" ht="15.75" customHeight="1" x14ac:dyDescent="0.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</row>
    <row r="413" spans="1:23" ht="15.75" customHeight="1" x14ac:dyDescent="0.2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</row>
    <row r="414" spans="1:23" ht="15.75" customHeight="1" x14ac:dyDescent="0.2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</row>
    <row r="415" spans="1:23" ht="15.75" customHeight="1" x14ac:dyDescent="0.2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</row>
    <row r="416" spans="1:23" ht="15.75" customHeight="1" x14ac:dyDescent="0.2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</row>
    <row r="417" spans="1:23" ht="15.75" customHeight="1" x14ac:dyDescent="0.2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</row>
    <row r="418" spans="1:23" ht="15.75" customHeight="1" x14ac:dyDescent="0.2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</row>
    <row r="419" spans="1:23" ht="15.75" customHeight="1" x14ac:dyDescent="0.2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</row>
    <row r="420" spans="1:23" ht="15.75" customHeight="1" x14ac:dyDescent="0.2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</row>
    <row r="421" spans="1:23" ht="15.75" customHeight="1" x14ac:dyDescent="0.2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</row>
    <row r="422" spans="1:23" ht="15.75" customHeight="1" x14ac:dyDescent="0.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</row>
    <row r="423" spans="1:23" ht="15.75" customHeight="1" x14ac:dyDescent="0.2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</row>
    <row r="424" spans="1:23" ht="15.75" customHeight="1" x14ac:dyDescent="0.2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</row>
    <row r="425" spans="1:23" ht="15.75" customHeight="1" x14ac:dyDescent="0.2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</row>
    <row r="426" spans="1:23" ht="15.75" customHeight="1" x14ac:dyDescent="0.2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</row>
    <row r="427" spans="1:23" ht="15.75" customHeight="1" x14ac:dyDescent="0.2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</row>
    <row r="428" spans="1:23" ht="15.75" customHeight="1" x14ac:dyDescent="0.2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</row>
    <row r="429" spans="1:23" ht="15.75" customHeight="1" x14ac:dyDescent="0.2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</row>
    <row r="430" spans="1:23" ht="15.75" customHeight="1" x14ac:dyDescent="0.2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</row>
    <row r="431" spans="1:23" ht="15.75" customHeight="1" x14ac:dyDescent="0.2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</row>
    <row r="432" spans="1:23" ht="15.75" customHeight="1" x14ac:dyDescent="0.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</row>
    <row r="433" spans="1:23" ht="15.75" customHeight="1" x14ac:dyDescent="0.2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</row>
    <row r="434" spans="1:23" ht="15.75" customHeight="1" x14ac:dyDescent="0.2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</row>
    <row r="435" spans="1:23" ht="15.75" customHeight="1" x14ac:dyDescent="0.2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</row>
    <row r="436" spans="1:23" ht="15.75" customHeight="1" x14ac:dyDescent="0.2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</row>
    <row r="437" spans="1:23" ht="15.75" customHeight="1" x14ac:dyDescent="0.2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</row>
    <row r="438" spans="1:23" ht="15.75" customHeight="1" x14ac:dyDescent="0.2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</row>
    <row r="439" spans="1:23" ht="15.75" customHeight="1" x14ac:dyDescent="0.2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</row>
    <row r="440" spans="1:23" ht="15.75" customHeight="1" x14ac:dyDescent="0.2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</row>
    <row r="441" spans="1:23" ht="15.75" customHeight="1" x14ac:dyDescent="0.2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</row>
    <row r="442" spans="1:23" ht="15.75" customHeight="1" x14ac:dyDescent="0.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</row>
    <row r="443" spans="1:23" ht="15.75" customHeight="1" x14ac:dyDescent="0.2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</row>
    <row r="444" spans="1:23" ht="15.75" customHeight="1" x14ac:dyDescent="0.2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</row>
    <row r="445" spans="1:23" ht="15.75" customHeight="1" x14ac:dyDescent="0.2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</row>
    <row r="446" spans="1:23" ht="15.75" customHeight="1" x14ac:dyDescent="0.2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</row>
    <row r="447" spans="1:23" ht="15.75" customHeight="1" x14ac:dyDescent="0.2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</row>
    <row r="448" spans="1:23" ht="15.75" customHeight="1" x14ac:dyDescent="0.2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</row>
    <row r="449" spans="1:23" ht="15.75" customHeight="1" x14ac:dyDescent="0.2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</row>
    <row r="450" spans="1:23" ht="15.75" customHeight="1" x14ac:dyDescent="0.2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</row>
    <row r="451" spans="1:23" ht="15.75" customHeight="1" x14ac:dyDescent="0.2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</row>
    <row r="452" spans="1:23" ht="15.75" customHeight="1" x14ac:dyDescent="0.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</row>
    <row r="453" spans="1:23" ht="15.75" customHeight="1" x14ac:dyDescent="0.2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</row>
    <row r="454" spans="1:23" ht="15.75" customHeight="1" x14ac:dyDescent="0.2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</row>
    <row r="455" spans="1:23" ht="15.75" customHeight="1" x14ac:dyDescent="0.2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</row>
    <row r="456" spans="1:23" ht="15.75" customHeight="1" x14ac:dyDescent="0.2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</row>
    <row r="457" spans="1:23" ht="15.75" customHeight="1" x14ac:dyDescent="0.2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</row>
    <row r="458" spans="1:23" ht="15.75" customHeight="1" x14ac:dyDescent="0.2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</row>
    <row r="459" spans="1:23" ht="15.75" customHeight="1" x14ac:dyDescent="0.2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</row>
    <row r="460" spans="1:23" ht="15.75" customHeight="1" x14ac:dyDescent="0.2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</row>
    <row r="461" spans="1:23" ht="15.75" customHeight="1" x14ac:dyDescent="0.2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</row>
    <row r="462" spans="1:23" ht="15.75" customHeight="1" x14ac:dyDescent="0.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</row>
    <row r="463" spans="1:23" ht="15.75" customHeight="1" x14ac:dyDescent="0.2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</row>
    <row r="464" spans="1:23" ht="15.75" customHeight="1" x14ac:dyDescent="0.2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</row>
    <row r="465" spans="1:23" ht="15.75" customHeight="1" x14ac:dyDescent="0.2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</row>
    <row r="466" spans="1:23" ht="15.75" customHeight="1" x14ac:dyDescent="0.2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</row>
    <row r="467" spans="1:23" ht="15.75" customHeight="1" x14ac:dyDescent="0.2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</row>
    <row r="468" spans="1:23" ht="15.75" customHeight="1" x14ac:dyDescent="0.2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</row>
    <row r="469" spans="1:23" ht="15.75" customHeight="1" x14ac:dyDescent="0.2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</row>
    <row r="470" spans="1:23" ht="15.75" customHeight="1" x14ac:dyDescent="0.2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</row>
    <row r="471" spans="1:23" ht="15.75" customHeight="1" x14ac:dyDescent="0.2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</row>
    <row r="472" spans="1:23" ht="15.75" customHeight="1" x14ac:dyDescent="0.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</row>
    <row r="473" spans="1:23" ht="15.75" customHeight="1" x14ac:dyDescent="0.2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</row>
    <row r="474" spans="1:23" ht="15.75" customHeight="1" x14ac:dyDescent="0.2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</row>
    <row r="475" spans="1:23" ht="15.75" customHeight="1" x14ac:dyDescent="0.2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</row>
    <row r="476" spans="1:23" ht="15.75" customHeight="1" x14ac:dyDescent="0.2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</row>
    <row r="477" spans="1:23" ht="15.75" customHeight="1" x14ac:dyDescent="0.2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</row>
    <row r="478" spans="1:23" ht="15.75" customHeight="1" x14ac:dyDescent="0.2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</row>
    <row r="479" spans="1:23" ht="15.75" customHeight="1" x14ac:dyDescent="0.2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</row>
    <row r="480" spans="1:23" ht="15.75" customHeight="1" x14ac:dyDescent="0.2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</row>
    <row r="481" spans="1:23" ht="15.75" customHeight="1" x14ac:dyDescent="0.2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</row>
    <row r="482" spans="1:23" ht="15.75" customHeight="1" x14ac:dyDescent="0.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</row>
    <row r="483" spans="1:23" ht="15.75" customHeight="1" x14ac:dyDescent="0.2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</row>
    <row r="484" spans="1:23" ht="15.75" customHeight="1" x14ac:dyDescent="0.2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</row>
    <row r="485" spans="1:23" ht="15.75" customHeight="1" x14ac:dyDescent="0.2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</row>
    <row r="486" spans="1:23" ht="15.75" customHeight="1" x14ac:dyDescent="0.2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</row>
    <row r="487" spans="1:23" ht="15.75" customHeight="1" x14ac:dyDescent="0.2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</row>
    <row r="488" spans="1:23" ht="15.75" customHeight="1" x14ac:dyDescent="0.2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</row>
    <row r="489" spans="1:23" ht="15.75" customHeight="1" x14ac:dyDescent="0.2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</row>
    <row r="490" spans="1:23" ht="15.75" customHeight="1" x14ac:dyDescent="0.2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</row>
    <row r="491" spans="1:23" ht="15.75" customHeight="1" x14ac:dyDescent="0.2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</row>
    <row r="492" spans="1:23" ht="15.75" customHeight="1" x14ac:dyDescent="0.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</row>
    <row r="493" spans="1:23" ht="15.75" customHeight="1" x14ac:dyDescent="0.2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</row>
    <row r="494" spans="1:23" ht="15.75" customHeight="1" x14ac:dyDescent="0.2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</row>
    <row r="495" spans="1:23" ht="15.75" customHeight="1" x14ac:dyDescent="0.2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</row>
    <row r="496" spans="1:23" ht="15.75" customHeight="1" x14ac:dyDescent="0.2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</row>
    <row r="497" spans="1:23" ht="15.75" customHeight="1" x14ac:dyDescent="0.2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</row>
    <row r="498" spans="1:23" ht="15.75" customHeight="1" x14ac:dyDescent="0.2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</row>
    <row r="499" spans="1:23" ht="15.75" customHeight="1" x14ac:dyDescent="0.2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</row>
    <row r="500" spans="1:23" ht="15.75" customHeight="1" x14ac:dyDescent="0.2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</row>
    <row r="501" spans="1:23" ht="15.75" customHeight="1" x14ac:dyDescent="0.2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</row>
    <row r="502" spans="1:23" ht="15.75" customHeight="1" x14ac:dyDescent="0.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</row>
    <row r="503" spans="1:23" ht="15.75" customHeight="1" x14ac:dyDescent="0.2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</row>
    <row r="504" spans="1:23" ht="15.75" customHeight="1" x14ac:dyDescent="0.2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</row>
    <row r="505" spans="1:23" ht="15.75" customHeight="1" x14ac:dyDescent="0.2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</row>
    <row r="506" spans="1:23" ht="15.75" customHeight="1" x14ac:dyDescent="0.2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</row>
    <row r="507" spans="1:23" ht="15.75" customHeight="1" x14ac:dyDescent="0.2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</row>
    <row r="508" spans="1:23" ht="15.75" customHeight="1" x14ac:dyDescent="0.2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</row>
    <row r="509" spans="1:23" ht="15.75" customHeight="1" x14ac:dyDescent="0.2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</row>
    <row r="510" spans="1:23" ht="15.75" customHeight="1" x14ac:dyDescent="0.2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</row>
    <row r="511" spans="1:23" ht="15.75" customHeight="1" x14ac:dyDescent="0.2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</row>
    <row r="512" spans="1:23" ht="15.75" customHeight="1" x14ac:dyDescent="0.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</row>
    <row r="513" spans="1:23" ht="15.75" customHeight="1" x14ac:dyDescent="0.2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</row>
    <row r="514" spans="1:23" ht="15.75" customHeight="1" x14ac:dyDescent="0.2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</row>
    <row r="515" spans="1:23" ht="15.75" customHeight="1" x14ac:dyDescent="0.2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</row>
    <row r="516" spans="1:23" ht="15.75" customHeight="1" x14ac:dyDescent="0.2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</row>
    <row r="517" spans="1:23" ht="15.75" customHeight="1" x14ac:dyDescent="0.2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</row>
    <row r="518" spans="1:23" ht="15.75" customHeight="1" x14ac:dyDescent="0.2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</row>
    <row r="519" spans="1:23" ht="15.75" customHeight="1" x14ac:dyDescent="0.2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</row>
    <row r="520" spans="1:23" ht="15.75" customHeight="1" x14ac:dyDescent="0.2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</row>
    <row r="521" spans="1:23" ht="15.75" customHeight="1" x14ac:dyDescent="0.2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</row>
    <row r="522" spans="1:23" ht="15.75" customHeight="1" x14ac:dyDescent="0.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</row>
    <row r="523" spans="1:23" ht="15.75" customHeight="1" x14ac:dyDescent="0.2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</row>
    <row r="524" spans="1:23" ht="15.75" customHeight="1" x14ac:dyDescent="0.2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</row>
    <row r="525" spans="1:23" ht="15.75" customHeight="1" x14ac:dyDescent="0.2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</row>
    <row r="526" spans="1:23" ht="15.75" customHeight="1" x14ac:dyDescent="0.2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</row>
    <row r="527" spans="1:23" ht="15.75" customHeight="1" x14ac:dyDescent="0.2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</row>
    <row r="528" spans="1:23" ht="15.75" customHeight="1" x14ac:dyDescent="0.2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</row>
    <row r="529" spans="1:23" ht="15.75" customHeight="1" x14ac:dyDescent="0.2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</row>
    <row r="530" spans="1:23" ht="15.75" customHeight="1" x14ac:dyDescent="0.2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</row>
    <row r="531" spans="1:23" ht="15.75" customHeight="1" x14ac:dyDescent="0.2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</row>
    <row r="532" spans="1:23" ht="15.75" customHeight="1" x14ac:dyDescent="0.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</row>
    <row r="533" spans="1:23" ht="15.75" customHeight="1" x14ac:dyDescent="0.2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</row>
    <row r="534" spans="1:23" ht="15.75" customHeight="1" x14ac:dyDescent="0.2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</row>
    <row r="535" spans="1:23" ht="15.75" customHeight="1" x14ac:dyDescent="0.2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</row>
    <row r="536" spans="1:23" ht="15.75" customHeight="1" x14ac:dyDescent="0.2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</row>
    <row r="537" spans="1:23" ht="15.75" customHeight="1" x14ac:dyDescent="0.2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</row>
    <row r="538" spans="1:23" ht="15.75" customHeight="1" x14ac:dyDescent="0.2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</row>
    <row r="539" spans="1:23" ht="15.75" customHeight="1" x14ac:dyDescent="0.2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</row>
    <row r="540" spans="1:23" ht="15.75" customHeight="1" x14ac:dyDescent="0.2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</row>
    <row r="541" spans="1:23" ht="15.75" customHeight="1" x14ac:dyDescent="0.2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</row>
    <row r="542" spans="1:23" ht="15.75" customHeight="1" x14ac:dyDescent="0.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</row>
    <row r="543" spans="1:23" ht="15.75" customHeight="1" x14ac:dyDescent="0.2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</row>
    <row r="544" spans="1:23" ht="15.75" customHeight="1" x14ac:dyDescent="0.2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</row>
    <row r="545" spans="1:23" ht="15.75" customHeight="1" x14ac:dyDescent="0.2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</row>
    <row r="546" spans="1:23" ht="15.75" customHeight="1" x14ac:dyDescent="0.2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</row>
    <row r="547" spans="1:23" ht="15.75" customHeight="1" x14ac:dyDescent="0.2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</row>
    <row r="548" spans="1:23" ht="15.75" customHeight="1" x14ac:dyDescent="0.2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</row>
    <row r="549" spans="1:23" ht="15.75" customHeight="1" x14ac:dyDescent="0.2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</row>
    <row r="550" spans="1:23" ht="15.75" customHeight="1" x14ac:dyDescent="0.2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</row>
    <row r="551" spans="1:23" ht="15.75" customHeight="1" x14ac:dyDescent="0.2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</row>
    <row r="552" spans="1:23" ht="15.75" customHeight="1" x14ac:dyDescent="0.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</row>
    <row r="553" spans="1:23" ht="15.75" customHeight="1" x14ac:dyDescent="0.2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</row>
    <row r="554" spans="1:23" ht="15.75" customHeight="1" x14ac:dyDescent="0.2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</row>
    <row r="555" spans="1:23" ht="15.75" customHeight="1" x14ac:dyDescent="0.2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</row>
    <row r="556" spans="1:23" ht="15.75" customHeight="1" x14ac:dyDescent="0.2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</row>
    <row r="557" spans="1:23" ht="15.75" customHeight="1" x14ac:dyDescent="0.2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</row>
    <row r="558" spans="1:23" ht="15.75" customHeight="1" x14ac:dyDescent="0.2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</row>
    <row r="559" spans="1:23" ht="15.75" customHeight="1" x14ac:dyDescent="0.2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</row>
    <row r="560" spans="1:23" ht="15.75" customHeight="1" x14ac:dyDescent="0.2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</row>
    <row r="561" spans="1:23" ht="15.75" customHeight="1" x14ac:dyDescent="0.2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</row>
    <row r="562" spans="1:23" ht="15.75" customHeight="1" x14ac:dyDescent="0.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</row>
    <row r="563" spans="1:23" ht="15.75" customHeight="1" x14ac:dyDescent="0.2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</row>
    <row r="564" spans="1:23" ht="15.75" customHeight="1" x14ac:dyDescent="0.2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</row>
    <row r="565" spans="1:23" ht="15.75" customHeight="1" x14ac:dyDescent="0.2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</row>
    <row r="566" spans="1:23" ht="15.75" customHeight="1" x14ac:dyDescent="0.2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</row>
    <row r="567" spans="1:23" ht="15.75" customHeight="1" x14ac:dyDescent="0.2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</row>
    <row r="568" spans="1:23" ht="15.75" customHeight="1" x14ac:dyDescent="0.2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</row>
    <row r="569" spans="1:23" ht="15.75" customHeight="1" x14ac:dyDescent="0.2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</row>
    <row r="570" spans="1:23" ht="15.75" customHeight="1" x14ac:dyDescent="0.2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</row>
    <row r="571" spans="1:23" ht="15.75" customHeight="1" x14ac:dyDescent="0.2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</row>
    <row r="572" spans="1:23" ht="15.75" customHeight="1" x14ac:dyDescent="0.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</row>
    <row r="573" spans="1:23" ht="15.75" customHeight="1" x14ac:dyDescent="0.2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</row>
    <row r="574" spans="1:23" ht="15.75" customHeight="1" x14ac:dyDescent="0.2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</row>
    <row r="575" spans="1:23" ht="15.75" customHeight="1" x14ac:dyDescent="0.2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</row>
    <row r="576" spans="1:23" ht="15.75" customHeight="1" x14ac:dyDescent="0.2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</row>
    <row r="577" spans="1:23" ht="15.75" customHeight="1" x14ac:dyDescent="0.2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</row>
    <row r="578" spans="1:23" ht="15.75" customHeight="1" x14ac:dyDescent="0.2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</row>
    <row r="579" spans="1:23" ht="15.75" customHeight="1" x14ac:dyDescent="0.2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</row>
    <row r="580" spans="1:23" ht="15.75" customHeight="1" x14ac:dyDescent="0.2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</row>
    <row r="581" spans="1:23" ht="15.75" customHeight="1" x14ac:dyDescent="0.2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</row>
    <row r="582" spans="1:23" ht="15.75" customHeight="1" x14ac:dyDescent="0.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</row>
    <row r="583" spans="1:23" ht="15.75" customHeight="1" x14ac:dyDescent="0.2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</row>
    <row r="584" spans="1:23" ht="15.75" customHeight="1" x14ac:dyDescent="0.2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</row>
    <row r="585" spans="1:23" ht="15.75" customHeight="1" x14ac:dyDescent="0.2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</row>
    <row r="586" spans="1:23" ht="15.75" customHeight="1" x14ac:dyDescent="0.2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</row>
    <row r="587" spans="1:23" ht="15.75" customHeight="1" x14ac:dyDescent="0.2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</row>
    <row r="588" spans="1:23" ht="15.75" customHeight="1" x14ac:dyDescent="0.2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</row>
    <row r="589" spans="1:23" ht="15.75" customHeight="1" x14ac:dyDescent="0.2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</row>
    <row r="590" spans="1:23" ht="15.75" customHeight="1" x14ac:dyDescent="0.2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</row>
    <row r="591" spans="1:23" ht="15.75" customHeight="1" x14ac:dyDescent="0.2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</row>
    <row r="592" spans="1:23" ht="15.75" customHeight="1" x14ac:dyDescent="0.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</row>
    <row r="593" spans="1:23" ht="15.75" customHeight="1" x14ac:dyDescent="0.2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</row>
    <row r="594" spans="1:23" ht="15.75" customHeight="1" x14ac:dyDescent="0.2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</row>
    <row r="595" spans="1:23" ht="15.75" customHeight="1" x14ac:dyDescent="0.2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</row>
    <row r="596" spans="1:23" ht="15.75" customHeight="1" x14ac:dyDescent="0.2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</row>
    <row r="597" spans="1:23" ht="15.75" customHeight="1" x14ac:dyDescent="0.2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</row>
    <row r="598" spans="1:23" ht="15.75" customHeight="1" x14ac:dyDescent="0.2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</row>
    <row r="599" spans="1:23" ht="15.75" customHeight="1" x14ac:dyDescent="0.2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</row>
    <row r="600" spans="1:23" ht="15.75" customHeight="1" x14ac:dyDescent="0.2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</row>
    <row r="601" spans="1:23" ht="15.75" customHeight="1" x14ac:dyDescent="0.2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</row>
    <row r="602" spans="1:23" ht="15.75" customHeight="1" x14ac:dyDescent="0.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</row>
    <row r="603" spans="1:23" ht="15.75" customHeight="1" x14ac:dyDescent="0.2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</row>
    <row r="604" spans="1:23" ht="15.75" customHeight="1" x14ac:dyDescent="0.2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</row>
    <row r="605" spans="1:23" ht="15.75" customHeight="1" x14ac:dyDescent="0.2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</row>
    <row r="606" spans="1:23" ht="15.75" customHeight="1" x14ac:dyDescent="0.2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</row>
    <row r="607" spans="1:23" ht="15.75" customHeight="1" x14ac:dyDescent="0.2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</row>
    <row r="608" spans="1:23" ht="15.75" customHeight="1" x14ac:dyDescent="0.2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</row>
    <row r="609" spans="1:23" ht="15.75" customHeight="1" x14ac:dyDescent="0.2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</row>
    <row r="610" spans="1:23" ht="15.75" customHeight="1" x14ac:dyDescent="0.2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</row>
    <row r="611" spans="1:23" ht="15.75" customHeight="1" x14ac:dyDescent="0.2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</row>
    <row r="612" spans="1:23" ht="15.75" customHeight="1" x14ac:dyDescent="0.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</row>
    <row r="613" spans="1:23" ht="15.75" customHeight="1" x14ac:dyDescent="0.2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</row>
    <row r="614" spans="1:23" ht="15.75" customHeight="1" x14ac:dyDescent="0.2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</row>
    <row r="615" spans="1:23" ht="15.75" customHeight="1" x14ac:dyDescent="0.2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</row>
    <row r="616" spans="1:23" ht="15.75" customHeight="1" x14ac:dyDescent="0.2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</row>
    <row r="617" spans="1:23" ht="15.75" customHeight="1" x14ac:dyDescent="0.2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</row>
    <row r="618" spans="1:23" ht="15.75" customHeight="1" x14ac:dyDescent="0.2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</row>
    <row r="619" spans="1:23" ht="15.75" customHeight="1" x14ac:dyDescent="0.2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</row>
    <row r="620" spans="1:23" ht="15.75" customHeight="1" x14ac:dyDescent="0.2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</row>
    <row r="621" spans="1:23" ht="15.75" customHeight="1" x14ac:dyDescent="0.2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</row>
    <row r="622" spans="1:23" ht="15.75" customHeight="1" x14ac:dyDescent="0.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</row>
    <row r="623" spans="1:23" ht="15.75" customHeight="1" x14ac:dyDescent="0.2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</row>
    <row r="624" spans="1:23" ht="15.75" customHeight="1" x14ac:dyDescent="0.2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</row>
    <row r="625" spans="1:23" ht="15.75" customHeight="1" x14ac:dyDescent="0.2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</row>
    <row r="626" spans="1:23" ht="15.75" customHeight="1" x14ac:dyDescent="0.2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</row>
    <row r="627" spans="1:23" ht="15.75" customHeight="1" x14ac:dyDescent="0.2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</row>
    <row r="628" spans="1:23" ht="15.75" customHeight="1" x14ac:dyDescent="0.2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</row>
    <row r="629" spans="1:23" ht="15.75" customHeight="1" x14ac:dyDescent="0.2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</row>
    <row r="630" spans="1:23" ht="15.75" customHeight="1" x14ac:dyDescent="0.2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</row>
    <row r="631" spans="1:23" ht="15.75" customHeight="1" x14ac:dyDescent="0.2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</row>
    <row r="632" spans="1:23" ht="15.75" customHeight="1" x14ac:dyDescent="0.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</row>
    <row r="633" spans="1:23" ht="15.75" customHeight="1" x14ac:dyDescent="0.2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</row>
    <row r="634" spans="1:23" ht="15.75" customHeight="1" x14ac:dyDescent="0.2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</row>
    <row r="635" spans="1:23" ht="15.75" customHeight="1" x14ac:dyDescent="0.2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</row>
    <row r="636" spans="1:23" ht="15.75" customHeight="1" x14ac:dyDescent="0.2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</row>
    <row r="637" spans="1:23" ht="15.75" customHeight="1" x14ac:dyDescent="0.2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</row>
    <row r="638" spans="1:23" ht="15.75" customHeight="1" x14ac:dyDescent="0.2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</row>
    <row r="639" spans="1:23" ht="15.75" customHeight="1" x14ac:dyDescent="0.2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</row>
    <row r="640" spans="1:23" ht="15.75" customHeight="1" x14ac:dyDescent="0.2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</row>
    <row r="641" spans="1:23" ht="15.75" customHeight="1" x14ac:dyDescent="0.2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</row>
    <row r="642" spans="1:23" ht="15.75" customHeight="1" x14ac:dyDescent="0.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</row>
    <row r="643" spans="1:23" ht="15.75" customHeight="1" x14ac:dyDescent="0.2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</row>
    <row r="644" spans="1:23" ht="15.75" customHeight="1" x14ac:dyDescent="0.2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</row>
    <row r="645" spans="1:23" ht="15.75" customHeight="1" x14ac:dyDescent="0.2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</row>
    <row r="646" spans="1:23" ht="15.75" customHeight="1" x14ac:dyDescent="0.2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</row>
    <row r="647" spans="1:23" ht="15.75" customHeight="1" x14ac:dyDescent="0.2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</row>
    <row r="648" spans="1:23" ht="15.75" customHeight="1" x14ac:dyDescent="0.2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</row>
    <row r="649" spans="1:23" ht="15.75" customHeight="1" x14ac:dyDescent="0.2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</row>
    <row r="650" spans="1:23" ht="15.75" customHeight="1" x14ac:dyDescent="0.2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</row>
    <row r="651" spans="1:23" ht="15.75" customHeight="1" x14ac:dyDescent="0.2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</row>
    <row r="652" spans="1:23" ht="15.75" customHeight="1" x14ac:dyDescent="0.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</row>
    <row r="653" spans="1:23" ht="15.75" customHeight="1" x14ac:dyDescent="0.2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</row>
    <row r="654" spans="1:23" ht="15.75" customHeight="1" x14ac:dyDescent="0.2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</row>
    <row r="655" spans="1:23" ht="15.75" customHeight="1" x14ac:dyDescent="0.2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</row>
    <row r="656" spans="1:23" ht="15.75" customHeight="1" x14ac:dyDescent="0.2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</row>
    <row r="657" spans="1:23" ht="15.75" customHeight="1" x14ac:dyDescent="0.2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</row>
    <row r="658" spans="1:23" ht="15.75" customHeight="1" x14ac:dyDescent="0.2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</row>
    <row r="659" spans="1:23" ht="15.75" customHeight="1" x14ac:dyDescent="0.2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</row>
    <row r="660" spans="1:23" ht="15.75" customHeight="1" x14ac:dyDescent="0.2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</row>
    <row r="661" spans="1:23" ht="15.75" customHeight="1" x14ac:dyDescent="0.2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</row>
    <row r="662" spans="1:23" ht="15.75" customHeight="1" x14ac:dyDescent="0.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</row>
    <row r="663" spans="1:23" ht="15.75" customHeight="1" x14ac:dyDescent="0.2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</row>
    <row r="664" spans="1:23" ht="15.75" customHeight="1" x14ac:dyDescent="0.2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</row>
    <row r="665" spans="1:23" ht="15.75" customHeight="1" x14ac:dyDescent="0.2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</row>
    <row r="666" spans="1:23" ht="15.75" customHeight="1" x14ac:dyDescent="0.2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</row>
    <row r="667" spans="1:23" ht="15.75" customHeight="1" x14ac:dyDescent="0.2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</row>
    <row r="668" spans="1:23" ht="15.75" customHeight="1" x14ac:dyDescent="0.2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</row>
    <row r="669" spans="1:23" ht="15.75" customHeight="1" x14ac:dyDescent="0.2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</row>
    <row r="670" spans="1:23" ht="15.75" customHeight="1" x14ac:dyDescent="0.2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</row>
    <row r="671" spans="1:23" ht="15.75" customHeight="1" x14ac:dyDescent="0.2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</row>
    <row r="672" spans="1:23" ht="15.75" customHeight="1" x14ac:dyDescent="0.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</row>
    <row r="673" spans="1:23" ht="15.75" customHeight="1" x14ac:dyDescent="0.2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</row>
    <row r="674" spans="1:23" ht="15.75" customHeight="1" x14ac:dyDescent="0.2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</row>
    <row r="675" spans="1:23" ht="15.75" customHeight="1" x14ac:dyDescent="0.2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</row>
    <row r="676" spans="1:23" ht="15.75" customHeight="1" x14ac:dyDescent="0.2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</row>
    <row r="677" spans="1:23" ht="15.75" customHeight="1" x14ac:dyDescent="0.2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</row>
    <row r="678" spans="1:23" ht="15.75" customHeight="1" x14ac:dyDescent="0.2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</row>
    <row r="679" spans="1:23" ht="15.75" customHeight="1" x14ac:dyDescent="0.2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</row>
    <row r="680" spans="1:23" ht="15.75" customHeight="1" x14ac:dyDescent="0.2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</row>
    <row r="681" spans="1:23" ht="15.75" customHeight="1" x14ac:dyDescent="0.2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</row>
    <row r="682" spans="1:23" ht="15.75" customHeight="1" x14ac:dyDescent="0.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</row>
    <row r="683" spans="1:23" ht="15.75" customHeight="1" x14ac:dyDescent="0.2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</row>
    <row r="684" spans="1:23" ht="15.75" customHeight="1" x14ac:dyDescent="0.2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</row>
    <row r="685" spans="1:23" ht="15.75" customHeight="1" x14ac:dyDescent="0.2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</row>
    <row r="686" spans="1:23" ht="15.75" customHeight="1" x14ac:dyDescent="0.2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</row>
    <row r="687" spans="1:23" ht="15.75" customHeight="1" x14ac:dyDescent="0.2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</row>
    <row r="688" spans="1:23" ht="15.75" customHeight="1" x14ac:dyDescent="0.2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</row>
    <row r="689" spans="1:23" ht="15.75" customHeight="1" x14ac:dyDescent="0.2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</row>
    <row r="690" spans="1:23" ht="15.75" customHeight="1" x14ac:dyDescent="0.2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</row>
    <row r="691" spans="1:23" ht="15.75" customHeight="1" x14ac:dyDescent="0.2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</row>
    <row r="692" spans="1:23" ht="15.75" customHeight="1" x14ac:dyDescent="0.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</row>
    <row r="693" spans="1:23" ht="15.75" customHeight="1" x14ac:dyDescent="0.2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</row>
    <row r="694" spans="1:23" ht="15.75" customHeight="1" x14ac:dyDescent="0.2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</row>
    <row r="695" spans="1:23" ht="15.75" customHeight="1" x14ac:dyDescent="0.2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</row>
    <row r="696" spans="1:23" ht="15.75" customHeight="1" x14ac:dyDescent="0.2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</row>
    <row r="697" spans="1:23" ht="15.75" customHeight="1" x14ac:dyDescent="0.2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</row>
    <row r="698" spans="1:23" ht="15.75" customHeight="1" x14ac:dyDescent="0.2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</row>
    <row r="699" spans="1:23" ht="15.75" customHeight="1" x14ac:dyDescent="0.2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</row>
    <row r="700" spans="1:23" ht="15.75" customHeight="1" x14ac:dyDescent="0.2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</row>
    <row r="701" spans="1:23" ht="15.75" customHeight="1" x14ac:dyDescent="0.2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</row>
    <row r="702" spans="1:23" ht="15.75" customHeight="1" x14ac:dyDescent="0.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</row>
    <row r="703" spans="1:23" ht="15.75" customHeight="1" x14ac:dyDescent="0.2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</row>
    <row r="704" spans="1:23" ht="15.75" customHeight="1" x14ac:dyDescent="0.2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</row>
    <row r="705" spans="1:23" ht="15.75" customHeight="1" x14ac:dyDescent="0.2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</row>
    <row r="706" spans="1:23" ht="15.75" customHeight="1" x14ac:dyDescent="0.2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</row>
    <row r="707" spans="1:23" ht="15.75" customHeight="1" x14ac:dyDescent="0.2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</row>
    <row r="708" spans="1:23" ht="15.75" customHeight="1" x14ac:dyDescent="0.2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</row>
    <row r="709" spans="1:23" ht="15.75" customHeight="1" x14ac:dyDescent="0.2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</row>
    <row r="710" spans="1:23" ht="15.75" customHeight="1" x14ac:dyDescent="0.2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</row>
    <row r="711" spans="1:23" ht="15.75" customHeight="1" x14ac:dyDescent="0.2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</row>
    <row r="712" spans="1:23" ht="15.75" customHeight="1" x14ac:dyDescent="0.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</row>
    <row r="713" spans="1:23" ht="15.75" customHeight="1" x14ac:dyDescent="0.2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</row>
    <row r="714" spans="1:23" ht="15.75" customHeight="1" x14ac:dyDescent="0.2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</row>
    <row r="715" spans="1:23" ht="15.75" customHeight="1" x14ac:dyDescent="0.2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</row>
    <row r="716" spans="1:23" ht="15.75" customHeight="1" x14ac:dyDescent="0.2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</row>
    <row r="717" spans="1:23" ht="15.75" customHeight="1" x14ac:dyDescent="0.2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</row>
    <row r="718" spans="1:23" ht="15.75" customHeight="1" x14ac:dyDescent="0.2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</row>
    <row r="719" spans="1:23" ht="15.75" customHeight="1" x14ac:dyDescent="0.2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</row>
    <row r="720" spans="1:23" ht="15.75" customHeight="1" x14ac:dyDescent="0.2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</row>
    <row r="721" spans="1:23" ht="15.75" customHeight="1" x14ac:dyDescent="0.2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</row>
    <row r="722" spans="1:23" ht="15.75" customHeight="1" x14ac:dyDescent="0.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</row>
    <row r="723" spans="1:23" ht="15.75" customHeight="1" x14ac:dyDescent="0.2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</row>
    <row r="724" spans="1:23" ht="15.75" customHeight="1" x14ac:dyDescent="0.2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</row>
    <row r="725" spans="1:23" ht="15.75" customHeight="1" x14ac:dyDescent="0.2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</row>
    <row r="726" spans="1:23" ht="15.75" customHeight="1" x14ac:dyDescent="0.2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</row>
    <row r="727" spans="1:23" ht="15.75" customHeight="1" x14ac:dyDescent="0.2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</row>
    <row r="728" spans="1:23" ht="15.75" customHeight="1" x14ac:dyDescent="0.2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</row>
    <row r="729" spans="1:23" ht="15.75" customHeight="1" x14ac:dyDescent="0.2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</row>
    <row r="730" spans="1:23" ht="15.75" customHeight="1" x14ac:dyDescent="0.2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</row>
    <row r="731" spans="1:23" ht="15.75" customHeight="1" x14ac:dyDescent="0.2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</row>
    <row r="732" spans="1:23" ht="15.75" customHeight="1" x14ac:dyDescent="0.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</row>
    <row r="733" spans="1:23" ht="15.75" customHeight="1" x14ac:dyDescent="0.2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</row>
    <row r="734" spans="1:23" ht="15.75" customHeight="1" x14ac:dyDescent="0.2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</row>
    <row r="735" spans="1:23" ht="15.75" customHeight="1" x14ac:dyDescent="0.2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</row>
    <row r="736" spans="1:23" ht="15.75" customHeight="1" x14ac:dyDescent="0.2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</row>
    <row r="737" spans="1:23" ht="15.75" customHeight="1" x14ac:dyDescent="0.2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</row>
    <row r="738" spans="1:23" ht="15.75" customHeight="1" x14ac:dyDescent="0.2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</row>
    <row r="739" spans="1:23" ht="15.75" customHeight="1" x14ac:dyDescent="0.2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</row>
    <row r="740" spans="1:23" ht="15.75" customHeight="1" x14ac:dyDescent="0.2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</row>
    <row r="741" spans="1:23" ht="15.75" customHeight="1" x14ac:dyDescent="0.2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</row>
    <row r="742" spans="1:23" ht="15.75" customHeight="1" x14ac:dyDescent="0.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</row>
    <row r="743" spans="1:23" ht="15.75" customHeight="1" x14ac:dyDescent="0.2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</row>
    <row r="744" spans="1:23" ht="15.75" customHeight="1" x14ac:dyDescent="0.2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</row>
    <row r="745" spans="1:23" ht="15.75" customHeight="1" x14ac:dyDescent="0.2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</row>
    <row r="746" spans="1:23" ht="15.75" customHeight="1" x14ac:dyDescent="0.2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</row>
    <row r="747" spans="1:23" ht="15.75" customHeight="1" x14ac:dyDescent="0.2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</row>
    <row r="748" spans="1:23" ht="15.75" customHeight="1" x14ac:dyDescent="0.2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</row>
    <row r="749" spans="1:23" ht="15.75" customHeight="1" x14ac:dyDescent="0.2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</row>
    <row r="750" spans="1:23" ht="15.75" customHeight="1" x14ac:dyDescent="0.2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</row>
    <row r="751" spans="1:23" ht="15.75" customHeight="1" x14ac:dyDescent="0.2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</row>
    <row r="752" spans="1:23" ht="15.75" customHeight="1" x14ac:dyDescent="0.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</row>
    <row r="753" spans="1:23" ht="15.75" customHeight="1" x14ac:dyDescent="0.2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</row>
    <row r="754" spans="1:23" ht="15.75" customHeight="1" x14ac:dyDescent="0.2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</row>
    <row r="755" spans="1:23" ht="15.75" customHeight="1" x14ac:dyDescent="0.2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</row>
    <row r="756" spans="1:23" ht="15.75" customHeight="1" x14ac:dyDescent="0.2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</row>
    <row r="757" spans="1:23" ht="15.75" customHeight="1" x14ac:dyDescent="0.2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</row>
    <row r="758" spans="1:23" ht="15.75" customHeight="1" x14ac:dyDescent="0.2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</row>
    <row r="759" spans="1:23" ht="15.75" customHeight="1" x14ac:dyDescent="0.2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</row>
    <row r="760" spans="1:23" ht="15.75" customHeight="1" x14ac:dyDescent="0.2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</row>
    <row r="761" spans="1:23" ht="15.75" customHeight="1" x14ac:dyDescent="0.2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</row>
    <row r="762" spans="1:23" ht="15.75" customHeight="1" x14ac:dyDescent="0.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</row>
    <row r="763" spans="1:23" ht="15.75" customHeight="1" x14ac:dyDescent="0.2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</row>
    <row r="764" spans="1:23" ht="15.75" customHeight="1" x14ac:dyDescent="0.2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</row>
    <row r="765" spans="1:23" ht="15.75" customHeight="1" x14ac:dyDescent="0.2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</row>
    <row r="766" spans="1:23" ht="15.75" customHeight="1" x14ac:dyDescent="0.2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</row>
    <row r="767" spans="1:23" ht="15.75" customHeight="1" x14ac:dyDescent="0.2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</row>
    <row r="768" spans="1:23" ht="15.75" customHeight="1" x14ac:dyDescent="0.2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</row>
    <row r="769" spans="1:23" ht="15.75" customHeight="1" x14ac:dyDescent="0.2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</row>
    <row r="770" spans="1:23" ht="15.75" customHeight="1" x14ac:dyDescent="0.2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</row>
    <row r="771" spans="1:23" ht="15.75" customHeight="1" x14ac:dyDescent="0.2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</row>
    <row r="772" spans="1:23" ht="15.75" customHeight="1" x14ac:dyDescent="0.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</row>
    <row r="773" spans="1:23" ht="15.75" customHeight="1" x14ac:dyDescent="0.2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</row>
    <row r="774" spans="1:23" ht="15.75" customHeight="1" x14ac:dyDescent="0.2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</row>
    <row r="775" spans="1:23" ht="15.75" customHeight="1" x14ac:dyDescent="0.2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</row>
    <row r="776" spans="1:23" ht="15.75" customHeight="1" x14ac:dyDescent="0.2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</row>
    <row r="777" spans="1:23" ht="15.75" customHeight="1" x14ac:dyDescent="0.2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</row>
    <row r="778" spans="1:23" ht="15.75" customHeight="1" x14ac:dyDescent="0.2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</row>
    <row r="779" spans="1:23" ht="15.75" customHeight="1" x14ac:dyDescent="0.2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</row>
    <row r="780" spans="1:23" ht="15.75" customHeight="1" x14ac:dyDescent="0.2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</row>
    <row r="781" spans="1:23" ht="15.75" customHeight="1" x14ac:dyDescent="0.2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</row>
    <row r="782" spans="1:23" ht="15.75" customHeight="1" x14ac:dyDescent="0.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</row>
    <row r="783" spans="1:23" ht="15.75" customHeight="1" x14ac:dyDescent="0.2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</row>
    <row r="784" spans="1:23" ht="15.75" customHeight="1" x14ac:dyDescent="0.2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</row>
    <row r="785" spans="1:23" ht="15.75" customHeight="1" x14ac:dyDescent="0.2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</row>
    <row r="786" spans="1:23" ht="15.75" customHeight="1" x14ac:dyDescent="0.2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</row>
    <row r="787" spans="1:23" ht="15.75" customHeight="1" x14ac:dyDescent="0.2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</row>
    <row r="788" spans="1:23" ht="15.75" customHeight="1" x14ac:dyDescent="0.2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</row>
    <row r="789" spans="1:23" ht="15.75" customHeight="1" x14ac:dyDescent="0.2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</row>
    <row r="790" spans="1:23" ht="15.75" customHeight="1" x14ac:dyDescent="0.2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</row>
    <row r="791" spans="1:23" ht="15.75" customHeight="1" x14ac:dyDescent="0.2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</row>
    <row r="792" spans="1:23" ht="15.75" customHeight="1" x14ac:dyDescent="0.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</row>
    <row r="793" spans="1:23" ht="15.75" customHeight="1" x14ac:dyDescent="0.2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</row>
    <row r="794" spans="1:23" ht="15.75" customHeight="1" x14ac:dyDescent="0.2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</row>
    <row r="795" spans="1:23" ht="15.75" customHeight="1" x14ac:dyDescent="0.2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</row>
    <row r="796" spans="1:23" ht="15.75" customHeight="1" x14ac:dyDescent="0.2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</row>
    <row r="797" spans="1:23" ht="15.75" customHeight="1" x14ac:dyDescent="0.2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</row>
    <row r="798" spans="1:23" ht="15.75" customHeight="1" x14ac:dyDescent="0.2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</row>
    <row r="799" spans="1:23" ht="15.75" customHeight="1" x14ac:dyDescent="0.2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</row>
    <row r="800" spans="1:23" ht="15.75" customHeight="1" x14ac:dyDescent="0.2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</row>
    <row r="801" spans="1:23" ht="15.75" customHeight="1" x14ac:dyDescent="0.2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</row>
    <row r="802" spans="1:23" ht="15.75" customHeight="1" x14ac:dyDescent="0.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</row>
    <row r="803" spans="1:23" ht="15.75" customHeight="1" x14ac:dyDescent="0.2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</row>
    <row r="804" spans="1:23" ht="15.75" customHeight="1" x14ac:dyDescent="0.2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</row>
    <row r="805" spans="1:23" ht="15.75" customHeight="1" x14ac:dyDescent="0.2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</row>
    <row r="806" spans="1:23" ht="15.75" customHeight="1" x14ac:dyDescent="0.2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</row>
    <row r="807" spans="1:23" ht="15.75" customHeight="1" x14ac:dyDescent="0.2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</row>
    <row r="808" spans="1:23" ht="15.75" customHeight="1" x14ac:dyDescent="0.2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</row>
    <row r="809" spans="1:23" ht="15.75" customHeight="1" x14ac:dyDescent="0.2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</row>
    <row r="810" spans="1:23" ht="15.75" customHeight="1" x14ac:dyDescent="0.2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</row>
    <row r="811" spans="1:23" ht="15.75" customHeight="1" x14ac:dyDescent="0.2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</row>
    <row r="812" spans="1:23" ht="15.75" customHeight="1" x14ac:dyDescent="0.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</row>
    <row r="813" spans="1:23" ht="15.75" customHeight="1" x14ac:dyDescent="0.2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</row>
    <row r="814" spans="1:23" ht="15.75" customHeight="1" x14ac:dyDescent="0.2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</row>
    <row r="815" spans="1:23" ht="15.75" customHeight="1" x14ac:dyDescent="0.2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</row>
    <row r="816" spans="1:23" ht="15.75" customHeight="1" x14ac:dyDescent="0.2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</row>
    <row r="817" spans="1:23" ht="15.75" customHeight="1" x14ac:dyDescent="0.2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</row>
    <row r="818" spans="1:23" ht="15.75" customHeight="1" x14ac:dyDescent="0.2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</row>
    <row r="819" spans="1:23" ht="15.75" customHeight="1" x14ac:dyDescent="0.2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</row>
    <row r="820" spans="1:23" ht="15.75" customHeight="1" x14ac:dyDescent="0.2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</row>
    <row r="821" spans="1:23" ht="15.75" customHeight="1" x14ac:dyDescent="0.2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</row>
    <row r="822" spans="1:23" ht="15.75" customHeight="1" x14ac:dyDescent="0.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</row>
    <row r="823" spans="1:23" ht="15.75" customHeight="1" x14ac:dyDescent="0.2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</row>
    <row r="824" spans="1:23" ht="15.75" customHeight="1" x14ac:dyDescent="0.2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</row>
    <row r="825" spans="1:23" ht="15.75" customHeight="1" x14ac:dyDescent="0.2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</row>
    <row r="826" spans="1:23" ht="15.75" customHeight="1" x14ac:dyDescent="0.2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</row>
    <row r="827" spans="1:23" ht="15.75" customHeight="1" x14ac:dyDescent="0.2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</row>
    <row r="828" spans="1:23" ht="15.75" customHeight="1" x14ac:dyDescent="0.2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</row>
    <row r="829" spans="1:23" ht="15.75" customHeight="1" x14ac:dyDescent="0.2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</row>
    <row r="830" spans="1:23" ht="15.75" customHeight="1" x14ac:dyDescent="0.2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</row>
    <row r="831" spans="1:23" ht="15.75" customHeight="1" x14ac:dyDescent="0.2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</row>
    <row r="832" spans="1:23" ht="15.75" customHeight="1" x14ac:dyDescent="0.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</row>
    <row r="833" spans="1:23" ht="15.75" customHeight="1" x14ac:dyDescent="0.2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</row>
    <row r="834" spans="1:23" ht="15.75" customHeight="1" x14ac:dyDescent="0.2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</row>
    <row r="835" spans="1:23" ht="15.75" customHeight="1" x14ac:dyDescent="0.2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</row>
    <row r="836" spans="1:23" ht="15.75" customHeight="1" x14ac:dyDescent="0.2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</row>
    <row r="837" spans="1:23" ht="15.75" customHeight="1" x14ac:dyDescent="0.2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</row>
    <row r="838" spans="1:23" ht="15.75" customHeight="1" x14ac:dyDescent="0.2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</row>
    <row r="839" spans="1:23" ht="15.75" customHeight="1" x14ac:dyDescent="0.2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</row>
    <row r="840" spans="1:23" ht="15.75" customHeight="1" x14ac:dyDescent="0.2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</row>
    <row r="841" spans="1:23" ht="15.75" customHeight="1" x14ac:dyDescent="0.2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</row>
    <row r="842" spans="1:23" ht="15.75" customHeight="1" x14ac:dyDescent="0.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</row>
    <row r="843" spans="1:23" ht="15.75" customHeight="1" x14ac:dyDescent="0.2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</row>
    <row r="844" spans="1:23" ht="15.75" customHeight="1" x14ac:dyDescent="0.2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</row>
    <row r="845" spans="1:23" ht="15.75" customHeight="1" x14ac:dyDescent="0.2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</row>
    <row r="846" spans="1:23" ht="15.75" customHeight="1" x14ac:dyDescent="0.2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</row>
    <row r="847" spans="1:23" ht="15.75" customHeight="1" x14ac:dyDescent="0.2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</row>
    <row r="848" spans="1:23" ht="15.75" customHeight="1" x14ac:dyDescent="0.2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</row>
    <row r="849" spans="1:23" ht="15.75" customHeight="1" x14ac:dyDescent="0.2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</row>
    <row r="850" spans="1:23" ht="15.75" customHeight="1" x14ac:dyDescent="0.2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</row>
    <row r="851" spans="1:23" ht="15.75" customHeight="1" x14ac:dyDescent="0.2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</row>
    <row r="852" spans="1:23" ht="15.75" customHeight="1" x14ac:dyDescent="0.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</row>
    <row r="853" spans="1:23" ht="15.75" customHeight="1" x14ac:dyDescent="0.2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</row>
    <row r="854" spans="1:23" ht="15.75" customHeight="1" x14ac:dyDescent="0.2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</row>
    <row r="855" spans="1:23" ht="15.75" customHeight="1" x14ac:dyDescent="0.2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</row>
    <row r="856" spans="1:23" ht="15.75" customHeight="1" x14ac:dyDescent="0.2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</row>
    <row r="857" spans="1:23" ht="15.75" customHeight="1" x14ac:dyDescent="0.2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</row>
    <row r="858" spans="1:23" ht="15.75" customHeight="1" x14ac:dyDescent="0.2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</row>
    <row r="859" spans="1:23" ht="15.75" customHeight="1" x14ac:dyDescent="0.2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</row>
    <row r="860" spans="1:23" ht="15.75" customHeight="1" x14ac:dyDescent="0.2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</row>
    <row r="861" spans="1:23" ht="15.75" customHeight="1" x14ac:dyDescent="0.2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</row>
    <row r="862" spans="1:23" ht="15.75" customHeight="1" x14ac:dyDescent="0.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</row>
    <row r="863" spans="1:23" ht="15.75" customHeight="1" x14ac:dyDescent="0.2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</row>
    <row r="864" spans="1:23" ht="15.75" customHeight="1" x14ac:dyDescent="0.2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</row>
    <row r="865" spans="1:23" ht="15.75" customHeight="1" x14ac:dyDescent="0.2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</row>
    <row r="866" spans="1:23" ht="15.75" customHeight="1" x14ac:dyDescent="0.2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</row>
    <row r="867" spans="1:23" ht="15.75" customHeight="1" x14ac:dyDescent="0.2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</row>
    <row r="868" spans="1:23" ht="15.75" customHeight="1" x14ac:dyDescent="0.2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</row>
    <row r="869" spans="1:23" ht="15.75" customHeight="1" x14ac:dyDescent="0.2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</row>
    <row r="870" spans="1:23" ht="15.75" customHeight="1" x14ac:dyDescent="0.2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</row>
    <row r="871" spans="1:23" ht="15.75" customHeight="1" x14ac:dyDescent="0.2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</row>
    <row r="872" spans="1:23" ht="15.75" customHeight="1" x14ac:dyDescent="0.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</row>
    <row r="873" spans="1:23" ht="15.75" customHeight="1" x14ac:dyDescent="0.2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</row>
    <row r="874" spans="1:23" ht="15.75" customHeight="1" x14ac:dyDescent="0.2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</row>
    <row r="875" spans="1:23" ht="15.75" customHeight="1" x14ac:dyDescent="0.2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</row>
    <row r="876" spans="1:23" ht="15.75" customHeight="1" x14ac:dyDescent="0.2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</row>
    <row r="877" spans="1:23" ht="15.75" customHeight="1" x14ac:dyDescent="0.2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</row>
    <row r="878" spans="1:23" ht="15.75" customHeight="1" x14ac:dyDescent="0.2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</row>
    <row r="879" spans="1:23" ht="15.75" customHeight="1" x14ac:dyDescent="0.2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</row>
    <row r="880" spans="1:23" ht="15.75" customHeight="1" x14ac:dyDescent="0.2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</row>
    <row r="881" spans="1:23" ht="15.75" customHeight="1" x14ac:dyDescent="0.2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</row>
    <row r="882" spans="1:23" ht="15.75" customHeight="1" x14ac:dyDescent="0.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</row>
    <row r="883" spans="1:23" ht="15.75" customHeight="1" x14ac:dyDescent="0.2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</row>
    <row r="884" spans="1:23" ht="15.75" customHeight="1" x14ac:dyDescent="0.2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</row>
    <row r="885" spans="1:23" ht="15.75" customHeight="1" x14ac:dyDescent="0.2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</row>
    <row r="886" spans="1:23" ht="15.75" customHeight="1" x14ac:dyDescent="0.2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</row>
    <row r="887" spans="1:23" ht="15.75" customHeight="1" x14ac:dyDescent="0.2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</row>
    <row r="888" spans="1:23" ht="15.75" customHeight="1" x14ac:dyDescent="0.2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</row>
    <row r="889" spans="1:23" ht="15.75" customHeight="1" x14ac:dyDescent="0.2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</row>
    <row r="890" spans="1:23" ht="15.75" customHeight="1" x14ac:dyDescent="0.2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</row>
    <row r="891" spans="1:23" ht="15.75" customHeight="1" x14ac:dyDescent="0.2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</row>
    <row r="892" spans="1:23" ht="15.75" customHeight="1" x14ac:dyDescent="0.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</row>
    <row r="893" spans="1:23" ht="15.75" customHeight="1" x14ac:dyDescent="0.2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</row>
    <row r="894" spans="1:23" ht="15.75" customHeight="1" x14ac:dyDescent="0.2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</row>
    <row r="895" spans="1:23" ht="15.75" customHeight="1" x14ac:dyDescent="0.2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</row>
    <row r="896" spans="1:23" ht="15.75" customHeight="1" x14ac:dyDescent="0.2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</row>
    <row r="897" spans="1:23" ht="15.75" customHeight="1" x14ac:dyDescent="0.2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</row>
    <row r="898" spans="1:23" ht="15.75" customHeight="1" x14ac:dyDescent="0.2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</row>
    <row r="899" spans="1:23" ht="15.75" customHeight="1" x14ac:dyDescent="0.2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</row>
    <row r="900" spans="1:23" ht="15.75" customHeight="1" x14ac:dyDescent="0.2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</row>
    <row r="901" spans="1:23" ht="15.75" customHeight="1" x14ac:dyDescent="0.2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</row>
    <row r="902" spans="1:23" ht="15.75" customHeight="1" x14ac:dyDescent="0.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</row>
    <row r="903" spans="1:23" ht="15.75" customHeight="1" x14ac:dyDescent="0.2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</row>
    <row r="904" spans="1:23" ht="15.75" customHeight="1" x14ac:dyDescent="0.2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</row>
    <row r="905" spans="1:23" ht="15.75" customHeight="1" x14ac:dyDescent="0.2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</row>
    <row r="906" spans="1:23" ht="15.75" customHeight="1" x14ac:dyDescent="0.2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</row>
    <row r="907" spans="1:23" ht="15.75" customHeight="1" x14ac:dyDescent="0.2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</row>
    <row r="908" spans="1:23" ht="15.75" customHeight="1" x14ac:dyDescent="0.2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</row>
    <row r="909" spans="1:23" ht="15.75" customHeight="1" x14ac:dyDescent="0.2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</row>
    <row r="910" spans="1:23" ht="15.75" customHeight="1" x14ac:dyDescent="0.2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</row>
    <row r="911" spans="1:23" ht="15.75" customHeight="1" x14ac:dyDescent="0.2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</row>
    <row r="912" spans="1:23" ht="15.75" customHeight="1" x14ac:dyDescent="0.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</row>
    <row r="913" spans="1:23" ht="15.75" customHeight="1" x14ac:dyDescent="0.2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</row>
    <row r="914" spans="1:23" ht="15.75" customHeight="1" x14ac:dyDescent="0.2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</row>
    <row r="915" spans="1:23" ht="15.75" customHeight="1" x14ac:dyDescent="0.2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</row>
    <row r="916" spans="1:23" ht="15.75" customHeight="1" x14ac:dyDescent="0.2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</row>
    <row r="917" spans="1:23" ht="15.75" customHeight="1" x14ac:dyDescent="0.2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</row>
    <row r="918" spans="1:23" ht="15.75" customHeight="1" x14ac:dyDescent="0.2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</row>
    <row r="919" spans="1:23" ht="15.75" customHeight="1" x14ac:dyDescent="0.2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</row>
    <row r="920" spans="1:23" ht="15.75" customHeight="1" x14ac:dyDescent="0.2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</row>
    <row r="921" spans="1:23" ht="15.75" customHeight="1" x14ac:dyDescent="0.2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</row>
    <row r="922" spans="1:23" ht="15.75" customHeight="1" x14ac:dyDescent="0.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</row>
    <row r="923" spans="1:23" ht="15.75" customHeight="1" x14ac:dyDescent="0.2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</row>
    <row r="924" spans="1:23" ht="15.75" customHeight="1" x14ac:dyDescent="0.2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</row>
    <row r="925" spans="1:23" ht="15.75" customHeight="1" x14ac:dyDescent="0.2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</row>
    <row r="926" spans="1:23" ht="15.75" customHeight="1" x14ac:dyDescent="0.2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</row>
    <row r="927" spans="1:23" ht="15.75" customHeight="1" x14ac:dyDescent="0.2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</row>
    <row r="928" spans="1:23" ht="15.75" customHeight="1" x14ac:dyDescent="0.2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</row>
    <row r="929" spans="1:23" ht="15.75" customHeight="1" x14ac:dyDescent="0.2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</row>
    <row r="930" spans="1:23" ht="15.75" customHeight="1" x14ac:dyDescent="0.2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</row>
    <row r="931" spans="1:23" ht="15.75" customHeight="1" x14ac:dyDescent="0.2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</row>
    <row r="932" spans="1:23" ht="15.75" customHeight="1" x14ac:dyDescent="0.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</row>
    <row r="933" spans="1:23" ht="15.75" customHeight="1" x14ac:dyDescent="0.2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</row>
    <row r="934" spans="1:23" ht="15.75" customHeight="1" x14ac:dyDescent="0.2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</row>
    <row r="935" spans="1:23" ht="15.75" customHeight="1" x14ac:dyDescent="0.2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</row>
    <row r="936" spans="1:23" ht="15.75" customHeight="1" x14ac:dyDescent="0.2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</row>
    <row r="937" spans="1:23" ht="15.75" customHeight="1" x14ac:dyDescent="0.2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</row>
    <row r="938" spans="1:23" ht="15.75" customHeight="1" x14ac:dyDescent="0.2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</row>
    <row r="939" spans="1:23" ht="15.75" customHeight="1" x14ac:dyDescent="0.2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</row>
    <row r="940" spans="1:23" ht="15.75" customHeight="1" x14ac:dyDescent="0.2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</row>
    <row r="941" spans="1:23" ht="15.75" customHeight="1" x14ac:dyDescent="0.2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</row>
    <row r="942" spans="1:23" ht="15.75" customHeight="1" x14ac:dyDescent="0.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</row>
    <row r="943" spans="1:23" ht="15.75" customHeight="1" x14ac:dyDescent="0.2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</row>
    <row r="944" spans="1:23" ht="15.75" customHeight="1" x14ac:dyDescent="0.2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</row>
    <row r="945" spans="1:23" ht="15.75" customHeight="1" x14ac:dyDescent="0.2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</row>
    <row r="946" spans="1:23" ht="15.75" customHeight="1" x14ac:dyDescent="0.2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</row>
    <row r="947" spans="1:23" ht="15.75" customHeight="1" x14ac:dyDescent="0.2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</row>
    <row r="948" spans="1:23" ht="15.75" customHeight="1" x14ac:dyDescent="0.2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</row>
    <row r="949" spans="1:23" ht="15.75" customHeight="1" x14ac:dyDescent="0.2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</row>
    <row r="950" spans="1:23" ht="15.75" customHeight="1" x14ac:dyDescent="0.2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</row>
    <row r="951" spans="1:23" ht="15.75" customHeight="1" x14ac:dyDescent="0.2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</row>
    <row r="952" spans="1:23" ht="15.75" customHeight="1" x14ac:dyDescent="0.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</row>
    <row r="953" spans="1:23" ht="15.75" customHeight="1" x14ac:dyDescent="0.2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</row>
    <row r="954" spans="1:23" ht="15.75" customHeight="1" x14ac:dyDescent="0.2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</row>
    <row r="955" spans="1:23" ht="15.75" customHeight="1" x14ac:dyDescent="0.2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</row>
    <row r="956" spans="1:23" ht="15.75" customHeight="1" x14ac:dyDescent="0.2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</row>
    <row r="957" spans="1:23" ht="15.75" customHeight="1" x14ac:dyDescent="0.2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</row>
    <row r="958" spans="1:23" ht="15.75" customHeight="1" x14ac:dyDescent="0.2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</row>
    <row r="959" spans="1:23" ht="15.75" customHeight="1" x14ac:dyDescent="0.2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</row>
    <row r="960" spans="1:23" ht="15.75" customHeight="1" x14ac:dyDescent="0.2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</row>
    <row r="961" spans="1:23" ht="15.75" customHeight="1" x14ac:dyDescent="0.2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</row>
    <row r="962" spans="1:23" ht="15.75" customHeight="1" x14ac:dyDescent="0.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</row>
    <row r="963" spans="1:23" ht="15.75" customHeight="1" x14ac:dyDescent="0.2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</row>
    <row r="964" spans="1:23" ht="15.75" customHeight="1" x14ac:dyDescent="0.2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</row>
    <row r="965" spans="1:23" ht="15.75" customHeight="1" x14ac:dyDescent="0.2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</row>
    <row r="966" spans="1:23" ht="15.75" customHeight="1" x14ac:dyDescent="0.2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</row>
    <row r="967" spans="1:23" ht="15.75" customHeight="1" x14ac:dyDescent="0.2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</row>
    <row r="968" spans="1:23" ht="15.75" customHeight="1" x14ac:dyDescent="0.2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</row>
    <row r="969" spans="1:23" ht="15.75" customHeight="1" x14ac:dyDescent="0.2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</row>
    <row r="970" spans="1:23" ht="15.75" customHeight="1" x14ac:dyDescent="0.2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</row>
    <row r="971" spans="1:23" ht="15.75" customHeight="1" x14ac:dyDescent="0.2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</row>
    <row r="972" spans="1:23" ht="15.75" customHeight="1" x14ac:dyDescent="0.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</row>
    <row r="973" spans="1:23" ht="15" customHeight="1" x14ac:dyDescent="0.2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</row>
  </sheetData>
  <autoFilter ref="A1:D117" xr:uid="{00000000-0009-0000-0000-000007000000}"/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Recon Summary</vt:lpstr>
      <vt:lpstr>Recon - Stripe vs Internal</vt:lpstr>
      <vt:lpstr>Data - Stripe</vt:lpstr>
      <vt:lpstr>Data - Internal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Inett</cp:lastModifiedBy>
  <dcterms:created xsi:type="dcterms:W3CDTF">2025-10-02T14:30:50Z</dcterms:created>
  <dcterms:modified xsi:type="dcterms:W3CDTF">2026-04-25T20:27:30Z</dcterms:modified>
</cp:coreProperties>
</file>